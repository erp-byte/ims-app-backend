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Candor Foods\Current live Inventory\backend\"/>
    </mc:Choice>
  </mc:AlternateContent>
  <xr:revisionPtr revIDLastSave="0" documentId="13_ncr:1_{ECA78436-FE8C-4BC5-86BD-FDD302B2A24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Final Cold Stocks Master" sheetId="1" r:id="rId1"/>
  </sheets>
  <externalReferences>
    <externalReference r:id="rId2"/>
  </externalReferences>
  <definedNames>
    <definedName name="_xlnm._FilterDatabase" localSheetId="0" hidden="1">'Final Cold Stocks Master'!$A$1:$W$448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10" i="1" l="1"/>
  <c r="H448" i="1" s="1"/>
  <c r="V406" i="1"/>
  <c r="V405" i="1"/>
  <c r="V399" i="1"/>
  <c r="V398" i="1"/>
  <c r="V397" i="1"/>
  <c r="V379" i="1"/>
  <c r="V370" i="1"/>
  <c r="V367" i="1"/>
  <c r="V363" i="1"/>
  <c r="V362" i="1"/>
  <c r="V361" i="1"/>
  <c r="V360" i="1"/>
  <c r="V359" i="1"/>
  <c r="V339" i="1"/>
  <c r="V333" i="1"/>
  <c r="V332" i="1"/>
  <c r="V331" i="1"/>
  <c r="V330" i="1"/>
  <c r="V329" i="1"/>
  <c r="V328" i="1"/>
  <c r="V327" i="1"/>
  <c r="V326" i="1"/>
  <c r="V325" i="1"/>
  <c r="V324" i="1"/>
  <c r="V297" i="1"/>
  <c r="V293" i="1"/>
  <c r="V287" i="1"/>
  <c r="V286" i="1"/>
  <c r="V273" i="1"/>
  <c r="V272" i="1"/>
  <c r="V271" i="1"/>
  <c r="V270" i="1"/>
  <c r="V269" i="1"/>
  <c r="V268" i="1"/>
  <c r="V267" i="1"/>
  <c r="V265" i="1"/>
  <c r="V264" i="1"/>
  <c r="V263" i="1"/>
  <c r="V260" i="1"/>
  <c r="V258" i="1"/>
  <c r="V257" i="1"/>
  <c r="V256" i="1"/>
  <c r="V242" i="1"/>
  <c r="V207" i="1"/>
  <c r="V206" i="1"/>
  <c r="V205" i="1"/>
  <c r="V204" i="1"/>
  <c r="V203" i="1"/>
  <c r="V202" i="1"/>
  <c r="V201" i="1"/>
  <c r="V200" i="1"/>
  <c r="V199" i="1"/>
  <c r="V198" i="1"/>
  <c r="V197" i="1"/>
  <c r="V196" i="1"/>
  <c r="V195" i="1"/>
  <c r="V194" i="1"/>
  <c r="V193" i="1"/>
  <c r="V192" i="1"/>
  <c r="V191" i="1"/>
  <c r="V190" i="1"/>
  <c r="V189" i="1"/>
  <c r="V188" i="1"/>
  <c r="V187" i="1"/>
  <c r="V174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0" i="1"/>
  <c r="V139" i="1"/>
  <c r="V138" i="1"/>
  <c r="V137" i="1"/>
  <c r="V136" i="1"/>
  <c r="V135" i="1"/>
  <c r="V122" i="1"/>
  <c r="V119" i="1"/>
  <c r="V118" i="1"/>
  <c r="V117" i="1"/>
  <c r="V116" i="1"/>
  <c r="V115" i="1"/>
  <c r="V114" i="1"/>
  <c r="V113" i="1"/>
  <c r="V112" i="1"/>
  <c r="V111" i="1"/>
  <c r="V110" i="1"/>
  <c r="V109" i="1"/>
  <c r="V107" i="1"/>
  <c r="V91" i="1"/>
  <c r="V88" i="1"/>
  <c r="V58" i="1"/>
  <c r="V54" i="1"/>
  <c r="V53" i="1"/>
  <c r="V39" i="1"/>
  <c r="V26" i="1"/>
  <c r="V25" i="1"/>
  <c r="V6" i="1"/>
  <c r="V5" i="1"/>
  <c r="V4" i="1"/>
  <c r="V2" i="1"/>
  <c r="D210" i="1"/>
  <c r="U448" i="1"/>
  <c r="R448" i="1"/>
  <c r="F448" i="1"/>
  <c r="Q452" i="1"/>
</calcChain>
</file>

<file path=xl/sharedStrings.xml><?xml version="1.0" encoding="utf-8"?>
<sst xmlns="http://schemas.openxmlformats.org/spreadsheetml/2006/main" count="6348" uniqueCount="1432">
  <si>
    <t>Inward Dt</t>
  </si>
  <si>
    <t>Unit</t>
  </si>
  <si>
    <t>Inward No</t>
  </si>
  <si>
    <t>Vakkal</t>
  </si>
  <si>
    <t>Lot No</t>
  </si>
  <si>
    <t>Net Qty On Cartons</t>
  </si>
  <si>
    <t>Weight KG</t>
  </si>
  <si>
    <t>Total Inventory Kgs</t>
  </si>
  <si>
    <t>Group Name</t>
  </si>
  <si>
    <t>Sub Group Name</t>
  </si>
  <si>
    <t>Item Mark</t>
  </si>
  <si>
    <t>Spl. Remark</t>
  </si>
  <si>
    <t>ITEM DESCRIPTION</t>
  </si>
  <si>
    <t>Company Name</t>
  </si>
  <si>
    <t>Storage Location</t>
  </si>
  <si>
    <t>Exporter</t>
  </si>
  <si>
    <t>Last Purchase Rate</t>
  </si>
  <si>
    <t>Value</t>
  </si>
  <si>
    <t>Ageing</t>
  </si>
  <si>
    <t>Ageing Bucket</t>
  </si>
  <si>
    <t>Box Count</t>
  </si>
  <si>
    <t>Box ID Range</t>
  </si>
  <si>
    <t>Transaction Nos</t>
  </si>
  <si>
    <t>Rishi</t>
  </si>
  <si>
    <t>Rishi Cold</t>
  </si>
  <si>
    <t>Safawi</t>
  </si>
  <si>
    <t>Wet Dates Safavi</t>
  </si>
  <si>
    <t>CDPL</t>
  </si>
  <si>
    <t>Local</t>
  </si>
  <si>
    <t>&gt;24 Months</t>
  </si>
  <si>
    <t>TR-20260314174605</t>
  </si>
  <si>
    <t>Dry Dates</t>
  </si>
  <si>
    <t>KHAREK</t>
  </si>
  <si>
    <t>Kharik</t>
  </si>
  <si>
    <t>90566000-1 to 90566000-49</t>
  </si>
  <si>
    <t>TR-20260314174606</t>
  </si>
  <si>
    <t>12-18 Months</t>
  </si>
  <si>
    <t>TR-20260314174612</t>
  </si>
  <si>
    <t>AL BARAKAH</t>
  </si>
  <si>
    <t>Khalas</t>
  </si>
  <si>
    <t>Premium</t>
  </si>
  <si>
    <t>AL BARAKAH KHALAS PREMIUM DATES</t>
  </si>
  <si>
    <t>TR-20260314174622</t>
  </si>
  <si>
    <t>Orange Box</t>
  </si>
  <si>
    <t>Fard-Prem</t>
  </si>
  <si>
    <t>Al Barakah Fard Dates Premium</t>
  </si>
  <si>
    <t>TR-20260314174624</t>
  </si>
  <si>
    <t>90585000-2 to 90585000-83</t>
  </si>
  <si>
    <t>TR-20260314174625</t>
  </si>
  <si>
    <t>DRY DATES-GRADE 2</t>
  </si>
  <si>
    <t>NAKHEEL</t>
  </si>
  <si>
    <t>90587000-1 to 90587000-37</t>
  </si>
  <si>
    <t>TR-20260314174627</t>
  </si>
  <si>
    <t>06-12 Months</t>
  </si>
  <si>
    <t>Khaneizi</t>
  </si>
  <si>
    <t>Wet Dates Khaneizi</t>
  </si>
  <si>
    <t>90593000-106 to 90593000-1202</t>
  </si>
  <si>
    <t>TR-20260314174633</t>
  </si>
  <si>
    <t>Mazafati</t>
  </si>
  <si>
    <t>Wet Dates (Mazafati)</t>
  </si>
  <si>
    <t>90595000-1 to 90595000-368</t>
  </si>
  <si>
    <t>TR-20260314174635</t>
  </si>
  <si>
    <t>Khalas-Seedless</t>
  </si>
  <si>
    <t>Seedless</t>
  </si>
  <si>
    <t>Wet Dates Seedless Khalas</t>
  </si>
  <si>
    <t>90596000-1 to 90596000-43</t>
  </si>
  <si>
    <t>TR-20260314174636</t>
  </si>
  <si>
    <t>90597000-1 to 90597000-25</t>
  </si>
  <si>
    <t>TR-20260314174637</t>
  </si>
  <si>
    <t>AAT IMPEX</t>
  </si>
  <si>
    <t>Khalas-RTV-AATIMPEX</t>
  </si>
  <si>
    <t>RTV</t>
  </si>
  <si>
    <t>90600000-1 to 90600000-749</t>
  </si>
  <si>
    <t>TR-20260314174640</t>
  </si>
  <si>
    <t>90599000-51 to 90599000-163</t>
  </si>
  <si>
    <t>TR-20260314174639</t>
  </si>
  <si>
    <t>Sayer-5Kg</t>
  </si>
  <si>
    <t>5Kg</t>
  </si>
  <si>
    <t>Wet Date Sayer ( Unpitted )</t>
  </si>
  <si>
    <t>&lt; 6 Months</t>
  </si>
  <si>
    <t>90607000-1 to 90607000-379</t>
  </si>
  <si>
    <t>TR-20260314174647</t>
  </si>
  <si>
    <t>90609000-1 to 90609000-119</t>
  </si>
  <si>
    <t>TR-20260314174649</t>
  </si>
  <si>
    <t>Excess Mat</t>
  </si>
  <si>
    <t>90610000-1 to 90610000-142</t>
  </si>
  <si>
    <t>TR-20260314174650</t>
  </si>
  <si>
    <t>Ajwa</t>
  </si>
  <si>
    <t>Wet Dates Ajwa</t>
  </si>
  <si>
    <t>90612000-1 to 90612000-28</t>
  </si>
  <si>
    <t>TR-20260314174652</t>
  </si>
  <si>
    <t>Mabroom</t>
  </si>
  <si>
    <t>Wet Dates (Mabroom)</t>
  </si>
  <si>
    <t>90613000-1 to 90613000-2</t>
  </si>
  <si>
    <t>TR-20260314174653</t>
  </si>
  <si>
    <t>90614000-1 to 90614000-3</t>
  </si>
  <si>
    <t>TR-20260314174654</t>
  </si>
  <si>
    <t>Fard-Seedless</t>
  </si>
  <si>
    <t>Al Barakah Fard Dates Seedless</t>
  </si>
  <si>
    <t>90616000-1 to 90616000-109</t>
  </si>
  <si>
    <t>TR-20260314174656</t>
  </si>
  <si>
    <t>90617000-1 to 90617000-52</t>
  </si>
  <si>
    <t>TR-20260314174657</t>
  </si>
  <si>
    <t>90618000-1 to 90618000-55</t>
  </si>
  <si>
    <t>TR-20260314174658</t>
  </si>
  <si>
    <t>90619000-1 to 90619000-73</t>
  </si>
  <si>
    <t>TR-20260314174659</t>
  </si>
  <si>
    <t>Zahidi</t>
  </si>
  <si>
    <t>Wet Dates Zahidi</t>
  </si>
  <si>
    <t>TR-20260314174700</t>
  </si>
  <si>
    <t>VR IND</t>
  </si>
  <si>
    <t>AL BARAKAH KHALAS DATES</t>
  </si>
  <si>
    <t>TR-20260314174703</t>
  </si>
  <si>
    <t>90624000-1 to 90624000-50</t>
  </si>
  <si>
    <t>TR-20260314174704</t>
  </si>
  <si>
    <t>Mazafati-B (Small)</t>
  </si>
  <si>
    <t>Small Count</t>
  </si>
  <si>
    <t>90627000-1 to 90627000-400</t>
  </si>
  <si>
    <t>TR-20260314174707</t>
  </si>
  <si>
    <t>90630000-1 to 90630000-264</t>
  </si>
  <si>
    <t>TR-20260314174710</t>
  </si>
  <si>
    <t>Egyptian</t>
  </si>
  <si>
    <t>Egyptian Wet Dates 10Kg</t>
  </si>
  <si>
    <t>Muffaddar</t>
  </si>
  <si>
    <t>90632000-1 to 90632000-1912</t>
  </si>
  <si>
    <t>TR-20260314174712</t>
  </si>
  <si>
    <t>Premium Harvest</t>
  </si>
  <si>
    <t>Wet Dates Khalas</t>
  </si>
  <si>
    <t>90635000-1 to 90635000-88</t>
  </si>
  <si>
    <t>TR-20260314174715</t>
  </si>
  <si>
    <t>90637000-1 to 90637000-6</t>
  </si>
  <si>
    <t>TR-20260314174717</t>
  </si>
  <si>
    <t>Fard-Prem-RTV Nageshwar</t>
  </si>
  <si>
    <t>RTV-Orange Nageshwar</t>
  </si>
  <si>
    <t>90640000-1 to 90640000-994</t>
  </si>
  <si>
    <t>TR-20260314174720</t>
  </si>
  <si>
    <t>90644000-1 to 90644000-810</t>
  </si>
  <si>
    <t>TR-20260314174724</t>
  </si>
  <si>
    <t>Rabia Seedless</t>
  </si>
  <si>
    <t>Rabia</t>
  </si>
  <si>
    <t>90646000-1 to 90646000-83</t>
  </si>
  <si>
    <t>TR-20260314174726</t>
  </si>
  <si>
    <t>90647000-2 to 90647000-42</t>
  </si>
  <si>
    <t>TR-20260314174727</t>
  </si>
  <si>
    <t>90650000-1 to 90650000-200</t>
  </si>
  <si>
    <t>TR-20260314174730</t>
  </si>
  <si>
    <t>Fard-AB</t>
  </si>
  <si>
    <t>AB Grade</t>
  </si>
  <si>
    <t>AL BARAKAH FARD DATES PREMIUM AB 10KG</t>
  </si>
  <si>
    <t>90653000-1 to 90653000-1419</t>
  </si>
  <si>
    <t>TR-20260314174733</t>
  </si>
  <si>
    <t>Fresho Kimia 500g</t>
  </si>
  <si>
    <t>Fresho Kimia Dates 500 Gm</t>
  </si>
  <si>
    <t>W202</t>
  </si>
  <si>
    <t>TR-20260314174735</t>
  </si>
  <si>
    <t>90656000-1 to 90656000-74</t>
  </si>
  <si>
    <t>TR-20260314174736</t>
  </si>
  <si>
    <t>90657000-1 to 90657000-39</t>
  </si>
  <si>
    <t>TR-20260314174737</t>
  </si>
  <si>
    <t>90658000-1 to 90658000-50</t>
  </si>
  <si>
    <t>TR-20260314174738</t>
  </si>
  <si>
    <t>Piyarom-Maryam</t>
  </si>
  <si>
    <t>New Iran</t>
  </si>
  <si>
    <t>PIYAROM DATES</t>
  </si>
  <si>
    <t>90660000-41 to 90660000-1167</t>
  </si>
  <si>
    <t>TR-20260314174740</t>
  </si>
  <si>
    <t>Khalas-Seedless-RTV-Tajir</t>
  </si>
  <si>
    <t>RTV Tajir</t>
  </si>
  <si>
    <t>90662000-1 to 90662000-519</t>
  </si>
  <si>
    <t>TR-20260314174742</t>
  </si>
  <si>
    <t>90663000-1 to 90663000-200</t>
  </si>
  <si>
    <t>TR-20260314174743</t>
  </si>
  <si>
    <t>90664000-1 to 90664000-15</t>
  </si>
  <si>
    <t>TR-20260314174744</t>
  </si>
  <si>
    <t>90666000-1 to 90666000-90, 90666000-94 to 90666000-2391</t>
  </si>
  <si>
    <t>TR-20260314174746</t>
  </si>
  <si>
    <t>ABD Kimia 500g</t>
  </si>
  <si>
    <t>Al Barakah Kimia Dates 500 Gm</t>
  </si>
  <si>
    <t>90667000-11 to 90667000-47</t>
  </si>
  <si>
    <t>TR-20260314174747</t>
  </si>
  <si>
    <t>Khalas-Local</t>
  </si>
  <si>
    <t>90673000-151 to 90673000-559</t>
  </si>
  <si>
    <t>TR-20260314174753</t>
  </si>
  <si>
    <t>90671000-1 to 90671000-66</t>
  </si>
  <si>
    <t>TR-20260314174752</t>
  </si>
  <si>
    <t>TR-20260314174751</t>
  </si>
  <si>
    <t>90671000-1</t>
  </si>
  <si>
    <t>90670000-1 to 90670000-35</t>
  </si>
  <si>
    <t>TR-20260314174750</t>
  </si>
  <si>
    <t>Fard-C</t>
  </si>
  <si>
    <t>C Grade</t>
  </si>
  <si>
    <t>AL BARAKAH FARD DATES STANDARD C 10KG</t>
  </si>
  <si>
    <t>TR-20260314174755</t>
  </si>
  <si>
    <t>TR-20260314174756</t>
  </si>
  <si>
    <t>Khalas-Seedless-RTV-MIE</t>
  </si>
  <si>
    <t>MIE RTV</t>
  </si>
  <si>
    <t>90674000-1 to 90674000-67</t>
  </si>
  <si>
    <t>TR-20260314174754</t>
  </si>
  <si>
    <t>Fard-A</t>
  </si>
  <si>
    <t>A Grade</t>
  </si>
  <si>
    <t>AL BARAKAH FARD DATES STANDARD A 10KG</t>
  </si>
  <si>
    <t>90677000-2 to 90677000-2177</t>
  </si>
  <si>
    <t>TR-20260314174757</t>
  </si>
  <si>
    <t>24668911-1 to 24668911-127</t>
  </si>
  <si>
    <t>TR-20260311155428</t>
  </si>
  <si>
    <t>TR-20260314174759</t>
  </si>
  <si>
    <t>90680000-68 to 90680000-185</t>
  </si>
  <si>
    <t>TR-20260314174800</t>
  </si>
  <si>
    <t>RTV Rajguru</t>
  </si>
  <si>
    <t>Khalas-Seedless-RTV-Rajguru</t>
  </si>
  <si>
    <t>90681000-1 to 90681000-34</t>
  </si>
  <si>
    <t>TR-20260314174801</t>
  </si>
  <si>
    <t>W202-Small</t>
  </si>
  <si>
    <t>90682000-1 to 90682000-67</t>
  </si>
  <si>
    <t>TR-20260314174802</t>
  </si>
  <si>
    <t>Al Sakhi</t>
  </si>
  <si>
    <t>90683000-1 to 90683000-169</t>
  </si>
  <si>
    <t>TR-20260314174803</t>
  </si>
  <si>
    <t>Krishna</t>
  </si>
  <si>
    <t>90684000-1 to 90684000-70</t>
  </si>
  <si>
    <t>TR-20260314174804</t>
  </si>
  <si>
    <t>AA IMPEX</t>
  </si>
  <si>
    <t>64801000-51 to 64801000-932</t>
  </si>
  <si>
    <t>TR-20260320000001</t>
  </si>
  <si>
    <t>90688000-1 to 90688000-53</t>
  </si>
  <si>
    <t>TR-20260314174808</t>
  </si>
  <si>
    <t>Meharwan</t>
  </si>
  <si>
    <t>51201000-1 to 51201000-495</t>
  </si>
  <si>
    <t>TR-20260321000001</t>
  </si>
  <si>
    <t>51202000-1 to 51202000-5</t>
  </si>
  <si>
    <t>TR-20260321000002</t>
  </si>
  <si>
    <t>Khaneizi-Seedless</t>
  </si>
  <si>
    <t>90690000-1 to 90690000-88</t>
  </si>
  <si>
    <t>TR-20260314174810</t>
  </si>
  <si>
    <t>Fard</t>
  </si>
  <si>
    <t>90691000-1 to 90691000-38</t>
  </si>
  <si>
    <t>TR-20260314174811</t>
  </si>
  <si>
    <t>RTV MIE</t>
  </si>
  <si>
    <t>90689000-1 to 90689000-214</t>
  </si>
  <si>
    <t>TR-20260314174809</t>
  </si>
  <si>
    <t>83201000-1 to 83201000-26</t>
  </si>
  <si>
    <t>TR-20260326000001</t>
  </si>
  <si>
    <t>Fard-Reliance</t>
  </si>
  <si>
    <t>Reliance</t>
  </si>
  <si>
    <t>Wet Dates Fardh</t>
  </si>
  <si>
    <t>28801000-1 to 28801000-340</t>
  </si>
  <si>
    <t>TR-20260330000001</t>
  </si>
  <si>
    <t>Kimia</t>
  </si>
  <si>
    <t>88001000-1 to 88001000-38</t>
  </si>
  <si>
    <t>TR-20260402000001</t>
  </si>
  <si>
    <t>06401000-1 to 06401000-1595</t>
  </si>
  <si>
    <t>TR-20260408000001</t>
  </si>
  <si>
    <t>Goel</t>
  </si>
  <si>
    <t>11201000-2 to 11201000-233</t>
  </si>
  <si>
    <t>TR-20260415000001</t>
  </si>
  <si>
    <t>W-202</t>
  </si>
  <si>
    <t>29601000-1 to 29601000-4</t>
  </si>
  <si>
    <t>TR-20260421000001</t>
  </si>
  <si>
    <t>29602000-1 to 29602000-2</t>
  </si>
  <si>
    <t>TR-20260421000002</t>
  </si>
  <si>
    <t>Mazafati-Shrink Wrap</t>
  </si>
  <si>
    <t>Grade B W-202</t>
  </si>
  <si>
    <t>29604000-1 to 29604000-144</t>
  </si>
  <si>
    <t>TR-20260421000004</t>
  </si>
  <si>
    <t>Khalas-AAT Impex</t>
  </si>
  <si>
    <t>20801000-511 to 20801000-1569</t>
  </si>
  <si>
    <t>TR-20260429000001</t>
  </si>
  <si>
    <t>Khalas-Seedless-AAT</t>
  </si>
  <si>
    <t>20802000-1 to 20802000-98</t>
  </si>
  <si>
    <t>TR-20260429000002</t>
  </si>
  <si>
    <t>12001000-1 to 12001000-9</t>
  </si>
  <si>
    <t>TR-20260507000001</t>
  </si>
  <si>
    <t>12002000-1 to 12002000-5</t>
  </si>
  <si>
    <t>TR-20260507000002</t>
  </si>
  <si>
    <t>FARD-C</t>
  </si>
  <si>
    <t>W-202 Ret (F53)</t>
  </si>
  <si>
    <t>Sukkary - Goel Cleaned</t>
  </si>
  <si>
    <t>Cleaning</t>
  </si>
  <si>
    <t>Wet Dates (Sukkary)</t>
  </si>
  <si>
    <t>Zahidi-Chopped</t>
  </si>
  <si>
    <t>Wet Dates Zahidi Seedless</t>
  </si>
  <si>
    <t>11/04/2026</t>
  </si>
  <si>
    <t>D-39</t>
  </si>
  <si>
    <t>GR643</t>
  </si>
  <si>
    <t>-</t>
  </si>
  <si>
    <t>Savla</t>
  </si>
  <si>
    <t>TR-20260411000001</t>
  </si>
  <si>
    <t>23/04/2026</t>
  </si>
  <si>
    <t>GR1494</t>
  </si>
  <si>
    <t>MEDIUM</t>
  </si>
  <si>
    <t>Medjoul-Medium Local</t>
  </si>
  <si>
    <t>WET DATES MEDJOUL BULK MEDIUM(5)</t>
  </si>
  <si>
    <t>25648118-2 to 25648118-764</t>
  </si>
  <si>
    <t>TR-20260423115731</t>
  </si>
  <si>
    <t>MINI</t>
  </si>
  <si>
    <t>Medjoul-Mini Local</t>
  </si>
  <si>
    <t>WET DATES MEDJOUL BULK MINI (5)</t>
  </si>
  <si>
    <t>34760065-2 to 34760065-9, 34760065-11 to 34760065-806</t>
  </si>
  <si>
    <t>TR-20260423142923</t>
  </si>
  <si>
    <t>OPEN DAMAGES</t>
  </si>
  <si>
    <t>Open Box</t>
  </si>
  <si>
    <t>TR-20260423000001</t>
  </si>
  <si>
    <t>26/04/2026</t>
  </si>
  <si>
    <t>GR1642</t>
  </si>
  <si>
    <t>SAMPLE</t>
  </si>
  <si>
    <t>Spread 330gx12Nos</t>
  </si>
  <si>
    <t>Al Barakah Date Spread 330gx12</t>
  </si>
  <si>
    <t>61601000-1 to 61601000-3</t>
  </si>
  <si>
    <t>TR-20260426000001</t>
  </si>
  <si>
    <t>30/04/2026</t>
  </si>
  <si>
    <t>GR1809</t>
  </si>
  <si>
    <t>V1</t>
  </si>
  <si>
    <t>10KG AL BARAKAH DATE POWDER V1</t>
  </si>
  <si>
    <t>TR-20260430000001</t>
  </si>
  <si>
    <t>02/05/2026</t>
  </si>
  <si>
    <t>GR1904</t>
  </si>
  <si>
    <t>PREMIUM</t>
  </si>
  <si>
    <t>Bucket 25Kg</t>
  </si>
  <si>
    <t>25KG AL BARAKAH DATE SYRUP V1</t>
  </si>
  <si>
    <t>80001000-475 to 80001000-488</t>
  </si>
  <si>
    <t>TR-20260502000001</t>
  </si>
  <si>
    <t>04/05/2026</t>
  </si>
  <si>
    <t>GR1981</t>
  </si>
  <si>
    <t>500GM</t>
  </si>
  <si>
    <t>Date Paste-Burned</t>
  </si>
  <si>
    <t>AL BARAKAH DATE PASTE 12.5KG</t>
  </si>
  <si>
    <t>52801000-1 to 52801000-1300</t>
  </si>
  <si>
    <t>TR-20260504000001</t>
  </si>
  <si>
    <t>400GM</t>
  </si>
  <si>
    <t>400g x 12</t>
  </si>
  <si>
    <t>Urban Platter</t>
  </si>
  <si>
    <t>URBAN PLATTER DATE SYRUP (400GX12)</t>
  </si>
  <si>
    <t>52802000-1 to 52802000-200</t>
  </si>
  <si>
    <t>TR-20260504000002</t>
  </si>
  <si>
    <t>14/05/2026</t>
  </si>
  <si>
    <t>GR2642</t>
  </si>
  <si>
    <t>Crushed Date</t>
  </si>
  <si>
    <t>AL BARAKAH CRUSHED DATES 10KG</t>
  </si>
  <si>
    <t>45622908-91 to 45622908-840, 66706001-751</t>
  </si>
  <si>
    <t>TR-20260514133020</t>
  </si>
  <si>
    <t>45622908-1 to 45622908-90</t>
  </si>
  <si>
    <t>18/05/2026</t>
  </si>
  <si>
    <t>GR2830</t>
  </si>
  <si>
    <t>V 1 -4</t>
  </si>
  <si>
    <t>Date Paste</t>
  </si>
  <si>
    <t>60960391-1 to 60960391-1480</t>
  </si>
  <si>
    <t>TR-20260521162600</t>
  </si>
  <si>
    <t>24/07/2023</t>
  </si>
  <si>
    <t>GR5903</t>
  </si>
  <si>
    <t>V-2</t>
  </si>
  <si>
    <t>V2</t>
  </si>
  <si>
    <t>10KG AL BARAKAH DATE POWDER V2</t>
  </si>
  <si>
    <t>90504000-1 to 90504000-37</t>
  </si>
  <si>
    <t>TR-20260314174504</t>
  </si>
  <si>
    <t>27/07/2024</t>
  </si>
  <si>
    <t>GR6534</t>
  </si>
  <si>
    <t>18-24 Months</t>
  </si>
  <si>
    <t>90512000-1 to 90512000-114</t>
  </si>
  <si>
    <t>90512000-1 to 90512000-77</t>
  </si>
  <si>
    <t>10/12/2024</t>
  </si>
  <si>
    <t>GR15535</t>
  </si>
  <si>
    <t>WHITE</t>
  </si>
  <si>
    <t>90518000-1 to 90518000-918</t>
  </si>
  <si>
    <t>TR-20260314174518</t>
  </si>
  <si>
    <t>90519000-1 to 90519000-60</t>
  </si>
  <si>
    <t>TR-20260314174519</t>
  </si>
  <si>
    <t>26/02/2025</t>
  </si>
  <si>
    <t>GR20724</t>
  </si>
  <si>
    <t>KING SOLOMON</t>
  </si>
  <si>
    <t>Medjoul-Large</t>
  </si>
  <si>
    <t>Large</t>
  </si>
  <si>
    <t>King Solomon Medjoul Dates Medium 500 Gm</t>
  </si>
  <si>
    <t>Hadiklaim</t>
  </si>
  <si>
    <t>90527000-1 to 90527000-119</t>
  </si>
  <si>
    <t>TR-20260314174527</t>
  </si>
  <si>
    <t>07/04/2025</t>
  </si>
  <si>
    <t>GR465</t>
  </si>
  <si>
    <t>TR-20260314174542</t>
  </si>
  <si>
    <t>16/05/2025</t>
  </si>
  <si>
    <t>GR3027</t>
  </si>
  <si>
    <t>TR-20260314174544</t>
  </si>
  <si>
    <t>29/06/2025</t>
  </si>
  <si>
    <t>GR5609</t>
  </si>
  <si>
    <t>MIX</t>
  </si>
  <si>
    <t>90545000-1 to 90545000-32</t>
  </si>
  <si>
    <t>TR-20260314174545</t>
  </si>
  <si>
    <t>24/09/2025</t>
  </si>
  <si>
    <t>GR10777</t>
  </si>
  <si>
    <t>TR-20260314174546</t>
  </si>
  <si>
    <t>04/11/2025</t>
  </si>
  <si>
    <t>GR13565</t>
  </si>
  <si>
    <t>TR-20260314174548</t>
  </si>
  <si>
    <t>05/01/2026</t>
  </si>
  <si>
    <t>GR18127</t>
  </si>
  <si>
    <t>TR-20260314174553</t>
  </si>
  <si>
    <t>30/03/2026</t>
  </si>
  <si>
    <t>GR23074</t>
  </si>
  <si>
    <t>30/04/2025</t>
  </si>
  <si>
    <t>D-514</t>
  </si>
  <si>
    <t>GR748</t>
  </si>
  <si>
    <t>Wet Dates (Rabia)</t>
  </si>
  <si>
    <t>TR-20260314174543</t>
  </si>
  <si>
    <t>19/11/2025</t>
  </si>
  <si>
    <t>GR5839</t>
  </si>
  <si>
    <t>TR-20260314174550</t>
  </si>
  <si>
    <t>Regular</t>
  </si>
  <si>
    <t>TR-20260314174549</t>
  </si>
  <si>
    <t>13/12/2025</t>
  </si>
  <si>
    <t>GR6454</t>
  </si>
  <si>
    <t>TR-20260314174552</t>
  </si>
  <si>
    <t>TR-20260314174551</t>
  </si>
  <si>
    <t>12/01/2026</t>
  </si>
  <si>
    <t>GR7119</t>
  </si>
  <si>
    <t>TR-20260314174554</t>
  </si>
  <si>
    <t>18/01/2026</t>
  </si>
  <si>
    <t>GR7275</t>
  </si>
  <si>
    <t>SS</t>
  </si>
  <si>
    <t>Safawi-SS</t>
  </si>
  <si>
    <t>Super Select</t>
  </si>
  <si>
    <t>90556000-1 to 90556000-47, 90556000-51 to 90556000-970, 90557000-1 to 90557000-3</t>
  </si>
  <si>
    <t>90556000-1 to 90556000-47, 90556000-51 to 90556000-674</t>
  </si>
  <si>
    <t>29/01/2026</t>
  </si>
  <si>
    <t>GR7518</t>
  </si>
  <si>
    <t>TR-20260314174602</t>
  </si>
  <si>
    <t>A</t>
  </si>
  <si>
    <t>Ajwa-SS</t>
  </si>
  <si>
    <t>90555000-2 to 90555000-878</t>
  </si>
  <si>
    <t>TR-20260314174555</t>
  </si>
  <si>
    <t>GR117</t>
  </si>
  <si>
    <t>PR.JUMBO</t>
  </si>
  <si>
    <t>Org Wanan-Jumbo</t>
  </si>
  <si>
    <t>Jumbo</t>
  </si>
  <si>
    <t>Organic Wanan Premium Jumbo</t>
  </si>
  <si>
    <t>90540000-1 to 90540000-10</t>
  </si>
  <si>
    <t>TR-20260314174540</t>
  </si>
  <si>
    <t>PR.LARGE</t>
  </si>
  <si>
    <t>Org Wanan-Large</t>
  </si>
  <si>
    <t>Organic Wanan Premium Large</t>
  </si>
  <si>
    <t>90541000-1 to 90541000-10</t>
  </si>
  <si>
    <t>TR-20260314174541</t>
  </si>
  <si>
    <t>15/01/2025</t>
  </si>
  <si>
    <t>GR7072</t>
  </si>
  <si>
    <t>74228</t>
  </si>
  <si>
    <t>90521000-2 to 90521000-44</t>
  </si>
  <si>
    <t>TR-20260314174521</t>
  </si>
  <si>
    <t>74229</t>
  </si>
  <si>
    <t>90520000-1 to 90520000-31</t>
  </si>
  <si>
    <t>TR-20260314174520</t>
  </si>
  <si>
    <t>10/02/2025</t>
  </si>
  <si>
    <t>GR7683</t>
  </si>
  <si>
    <t>1 KG</t>
  </si>
  <si>
    <t>Medjoul-Jumbo</t>
  </si>
  <si>
    <t>JUMBO</t>
  </si>
  <si>
    <t>WET DATES MEDJOUL JUMBO</t>
  </si>
  <si>
    <t>90525000-1 to 90525000-7</t>
  </si>
  <si>
    <t>TR-20260314174525</t>
  </si>
  <si>
    <t>5KGX3</t>
  </si>
  <si>
    <t>Medjoul-Mini</t>
  </si>
  <si>
    <t>Mini</t>
  </si>
  <si>
    <t>90524000-1 to 90524000-9</t>
  </si>
  <si>
    <t>TR-20260314174524</t>
  </si>
  <si>
    <t>11/02/2025</t>
  </si>
  <si>
    <t>GR7699</t>
  </si>
  <si>
    <t>NO.2</t>
  </si>
  <si>
    <t>Medjoul-Rej</t>
  </si>
  <si>
    <t>S.JUMBO</t>
  </si>
  <si>
    <t>Off-Grade Dates</t>
  </si>
  <si>
    <t>90526000-1 to 90526000-9</t>
  </si>
  <si>
    <t>TR-20260314174526</t>
  </si>
  <si>
    <t>19/03/2025</t>
  </si>
  <si>
    <t>GR8554</t>
  </si>
  <si>
    <t>NO-2</t>
  </si>
  <si>
    <t>90530000-1 to 90530000-4</t>
  </si>
  <si>
    <t>TR-20260314174530</t>
  </si>
  <si>
    <t>21/03/2025</t>
  </si>
  <si>
    <t>GR8597</t>
  </si>
  <si>
    <t>AJWA</t>
  </si>
  <si>
    <t>Royal Delight Ajwa Dates 5 Kgs</t>
  </si>
  <si>
    <t>90531000-1 to 90531000-33</t>
  </si>
  <si>
    <t>TR-20260314174531</t>
  </si>
  <si>
    <t>31/03/2025</t>
  </si>
  <si>
    <t>GR8855</t>
  </si>
  <si>
    <t>12.5 KG</t>
  </si>
  <si>
    <t>Org Seqee-Large</t>
  </si>
  <si>
    <t>Organic Seqee Premium Large</t>
  </si>
  <si>
    <t>90536000-1</t>
  </si>
  <si>
    <t>TR-20260314174536</t>
  </si>
  <si>
    <t>Supreme</t>
  </si>
  <si>
    <t>Sufri</t>
  </si>
  <si>
    <t>Sufri Wet Dates</t>
  </si>
  <si>
    <t>01/04/2026</t>
  </si>
  <si>
    <t>GR18</t>
  </si>
  <si>
    <t>Indian</t>
  </si>
  <si>
    <t>Green</t>
  </si>
  <si>
    <t>Indian Green Raisins</t>
  </si>
  <si>
    <t>CFPL</t>
  </si>
  <si>
    <t>TR-20260401000001</t>
  </si>
  <si>
    <t>TR-20260401000002</t>
  </si>
  <si>
    <t>TR-20260401000003</t>
  </si>
  <si>
    <t>TR-20260401000004</t>
  </si>
  <si>
    <t>TR-20260401000005</t>
  </si>
  <si>
    <t>TR-20260401000006</t>
  </si>
  <si>
    <t>03/04/2026</t>
  </si>
  <si>
    <t>GR175</t>
  </si>
  <si>
    <t>STYEL -6</t>
  </si>
  <si>
    <t>Roasted Style-6</t>
  </si>
  <si>
    <t>Size-6</t>
  </si>
  <si>
    <t>Macadamia Roasted - Size 6</t>
  </si>
  <si>
    <t>74401000-2 to 74401000-28</t>
  </si>
  <si>
    <t>TR-20260403000001</t>
  </si>
  <si>
    <t>GR675</t>
  </si>
  <si>
    <t>R&amp;S Seasalt</t>
  </si>
  <si>
    <t>MACADAMIA NIS - ROASTED SEA SALT</t>
  </si>
  <si>
    <t>Crestnut</t>
  </si>
  <si>
    <t>TR-20260411000002</t>
  </si>
  <si>
    <t>GR717</t>
  </si>
  <si>
    <t>Raisin</t>
  </si>
  <si>
    <t>Bhavesh</t>
  </si>
  <si>
    <t>TR-20260411000003</t>
  </si>
  <si>
    <t>TR-20260411000004</t>
  </si>
  <si>
    <t>TR-20260411000005</t>
  </si>
  <si>
    <t>TR-20260411000006</t>
  </si>
  <si>
    <t>TR-20260411000007</t>
  </si>
  <si>
    <t>TR-20260411000008</t>
  </si>
  <si>
    <t>TR-20260411000009</t>
  </si>
  <si>
    <t>TR-20260411000010</t>
  </si>
  <si>
    <t>TR-20260411000011</t>
  </si>
  <si>
    <t>TR-20260411000012</t>
  </si>
  <si>
    <t>TR-20260411000013</t>
  </si>
  <si>
    <t>TR-20260411000014</t>
  </si>
  <si>
    <t>TR-20260411000015</t>
  </si>
  <si>
    <t>TR-20260411000016</t>
  </si>
  <si>
    <t>TR-20260411000017</t>
  </si>
  <si>
    <t>TR-20260411000018</t>
  </si>
  <si>
    <t>TR-20260411000019</t>
  </si>
  <si>
    <t>TR-20260411000020</t>
  </si>
  <si>
    <t>TR-20260411000021</t>
  </si>
  <si>
    <t>TR-20260411000022</t>
  </si>
  <si>
    <t>TR-20260411000023</t>
  </si>
  <si>
    <t>TR-20260411000024</t>
  </si>
  <si>
    <t>TR-20260411000025</t>
  </si>
  <si>
    <t>TR-20260411000026</t>
  </si>
  <si>
    <t>TR-20260411000027</t>
  </si>
  <si>
    <t>TR-20260411000028</t>
  </si>
  <si>
    <t>TR-20260411000029</t>
  </si>
  <si>
    <t>TR-20260411000030</t>
  </si>
  <si>
    <t>14/04/2026</t>
  </si>
  <si>
    <t>GR857</t>
  </si>
  <si>
    <t>21-25</t>
  </si>
  <si>
    <t>California 21-25</t>
  </si>
  <si>
    <t>Primex</t>
  </si>
  <si>
    <t>California Pista Inshell</t>
  </si>
  <si>
    <t>24801000-1 to 24801000-650</t>
  </si>
  <si>
    <t>24801000-1 to 24801000-650, 24802000-1 to 24802000-4</t>
  </si>
  <si>
    <t>24801000-1 to 24801000-360</t>
  </si>
  <si>
    <t>15/04/2026</t>
  </si>
  <si>
    <t>GR915</t>
  </si>
  <si>
    <t>Pumpkin</t>
  </si>
  <si>
    <t>Seed</t>
  </si>
  <si>
    <t>Pumpkin Seed ( 5% )</t>
  </si>
  <si>
    <t>TR-20260415000002</t>
  </si>
  <si>
    <t>24804000-1 to 24804000-32</t>
  </si>
  <si>
    <t>TR-20260414000004</t>
  </si>
  <si>
    <t>GR899</t>
  </si>
  <si>
    <t>SPLIT</t>
  </si>
  <si>
    <t>Pecan</t>
  </si>
  <si>
    <t>Tukda</t>
  </si>
  <si>
    <t>Pecan Nuts</t>
  </si>
  <si>
    <t>11203000-1 to 11203000-10</t>
  </si>
  <si>
    <t>TR-20260415000003</t>
  </si>
  <si>
    <t>GR933</t>
  </si>
  <si>
    <t>OCEAN SPRAY</t>
  </si>
  <si>
    <t>Sliced</t>
  </si>
  <si>
    <t>OceanSpray</t>
  </si>
  <si>
    <t>Dried Cranberry Sliced</t>
  </si>
  <si>
    <t>Tajir</t>
  </si>
  <si>
    <t>GR1473</t>
  </si>
  <si>
    <t>Dev Int</t>
  </si>
  <si>
    <t>02402000-1 to 02402000-80, 02403000-1 to 02403000-4</t>
  </si>
  <si>
    <t>02402000-1 to 02402000-80, 02403000-1 to 02403000-13</t>
  </si>
  <si>
    <t>02402000-1 to 02402000-80</t>
  </si>
  <si>
    <t>02402000-1 to 02402000-48</t>
  </si>
  <si>
    <t>02402000-1 to 02402000-66</t>
  </si>
  <si>
    <t>02402000-1 to 02402000-80, 02403000-1 to 02403000-10</t>
  </si>
  <si>
    <t>02402000-1 to 02402000-54</t>
  </si>
  <si>
    <t>21/04/2026</t>
  </si>
  <si>
    <t>GR1320</t>
  </si>
  <si>
    <t>Deri</t>
  </si>
  <si>
    <t>Deri Dates</t>
  </si>
  <si>
    <t>TR-20260421000026</t>
  </si>
  <si>
    <t>GR1322</t>
  </si>
  <si>
    <t>TR-20260421000027</t>
  </si>
  <si>
    <t>TR-20260421000028</t>
  </si>
  <si>
    <t>TR-20260421000029</t>
  </si>
  <si>
    <t>TR-20260421000030</t>
  </si>
  <si>
    <t>TR-20260421000031</t>
  </si>
  <si>
    <t>TR-20260421000032</t>
  </si>
  <si>
    <t>TR-20260421000033</t>
  </si>
  <si>
    <t>TR-20260421000034</t>
  </si>
  <si>
    <t>TR-20260421000035</t>
  </si>
  <si>
    <t>TR-20260421000036</t>
  </si>
  <si>
    <t>TR-20260421000037</t>
  </si>
  <si>
    <t>TR-20260421000038</t>
  </si>
  <si>
    <t>TR-20260421000039</t>
  </si>
  <si>
    <t>TR-20260421000040</t>
  </si>
  <si>
    <t>TR-20260421000041</t>
  </si>
  <si>
    <t>TR-20260421000042</t>
  </si>
  <si>
    <t>TR-20260421000043</t>
  </si>
  <si>
    <t>TR-20260421000044</t>
  </si>
  <si>
    <t>TR-20260421000045</t>
  </si>
  <si>
    <t>TR-20260421000046</t>
  </si>
  <si>
    <t>03/05/2026</t>
  </si>
  <si>
    <t>GR1948</t>
  </si>
  <si>
    <t>RUNNING 26-27</t>
  </si>
  <si>
    <t>Kernel Size 25-27</t>
  </si>
  <si>
    <t>Unazo</t>
  </si>
  <si>
    <t>American Almonds Running 25-27 count</t>
  </si>
  <si>
    <t>66401000-91 to 66401000-126</t>
  </si>
  <si>
    <t>TR-20260503000001</t>
  </si>
  <si>
    <t>SIZE 22</t>
  </si>
  <si>
    <t>Kernel Size 22</t>
  </si>
  <si>
    <t>American Almonds Kernel 20-22 count</t>
  </si>
  <si>
    <t>66402000-2 to 66402000-14</t>
  </si>
  <si>
    <t>TR-20260503000002</t>
  </si>
  <si>
    <t>06/05/2026</t>
  </si>
  <si>
    <t>GR2134</t>
  </si>
  <si>
    <t>California 18-21</t>
  </si>
  <si>
    <t>Inshell</t>
  </si>
  <si>
    <t>Wonderful</t>
  </si>
  <si>
    <t>GR2130</t>
  </si>
  <si>
    <t>RBP-72 A-52</t>
  </si>
  <si>
    <t>25621000-1 to 25621000-52</t>
  </si>
  <si>
    <t>TR-20260506000021</t>
  </si>
  <si>
    <t>GBK-164 B-29</t>
  </si>
  <si>
    <t>25622000-1 to 25622000-29</t>
  </si>
  <si>
    <t>TR-20260506000022</t>
  </si>
  <si>
    <t>GMC-112 A-69</t>
  </si>
  <si>
    <t>25623000-1 to 25623000-69</t>
  </si>
  <si>
    <t>TR-20260506000023</t>
  </si>
  <si>
    <t>GMC-112 B-44</t>
  </si>
  <si>
    <t>25624000-1 to 25624000-44</t>
  </si>
  <si>
    <t>TR-20260506000024</t>
  </si>
  <si>
    <t>GBK-164 A-132</t>
  </si>
  <si>
    <t>25625000-1 to 25625000-132</t>
  </si>
  <si>
    <t>TR-20260506000025</t>
  </si>
  <si>
    <t>SSK-90 A-66</t>
  </si>
  <si>
    <t>25626000-1 to 25626000-66</t>
  </si>
  <si>
    <t>TR-20260506000026</t>
  </si>
  <si>
    <t>LBV-70 B-25</t>
  </si>
  <si>
    <t>25627000-1 to 25627000-25</t>
  </si>
  <si>
    <t>TR-20260506000027</t>
  </si>
  <si>
    <t>SSK-90 B-24</t>
  </si>
  <si>
    <t>25628000-1 to 25628000-24</t>
  </si>
  <si>
    <t>TR-20260506000028</t>
  </si>
  <si>
    <t>LBV-70 A-44</t>
  </si>
  <si>
    <t>25629000-1 to 25629000-44</t>
  </si>
  <si>
    <t>TR-20260506000029</t>
  </si>
  <si>
    <t>PRG-93 A-70</t>
  </si>
  <si>
    <t>25630000-1 to 25630000-70</t>
  </si>
  <si>
    <t>TR-20260506000030</t>
  </si>
  <si>
    <t>VBD-72-36 A17</t>
  </si>
  <si>
    <t>25631000-1 to 25631000-17</t>
  </si>
  <si>
    <t>TR-20260506000031</t>
  </si>
  <si>
    <t>PRG-93 B-22</t>
  </si>
  <si>
    <t>25632000-1 to 25632000-22</t>
  </si>
  <si>
    <t>TR-20260506000032</t>
  </si>
  <si>
    <t>GND-72 A-47</t>
  </si>
  <si>
    <t>25633000-1 to 25633000-47</t>
  </si>
  <si>
    <t>TR-20260506000033</t>
  </si>
  <si>
    <t>GND-72 B-25</t>
  </si>
  <si>
    <t>25634000-1 to 25634000-25</t>
  </si>
  <si>
    <t>TR-20260506000034</t>
  </si>
  <si>
    <t>VBD-72-36 B17</t>
  </si>
  <si>
    <t>25635000-1 to 25635000-17</t>
  </si>
  <si>
    <t>TR-20260506000035</t>
  </si>
  <si>
    <t>SMG-54 A-35</t>
  </si>
  <si>
    <t>25636000-1 to 25636000-35</t>
  </si>
  <si>
    <t>TR-20260506000036</t>
  </si>
  <si>
    <t>SMG-54 B-19</t>
  </si>
  <si>
    <t>25637000-1 to 25637000-19</t>
  </si>
  <si>
    <t>TR-20260506000037</t>
  </si>
  <si>
    <t>RVP-45 A-34</t>
  </si>
  <si>
    <t>25638000-1 to 25638000-34</t>
  </si>
  <si>
    <t>TR-20260506000038</t>
  </si>
  <si>
    <t>RVP-45 B-11</t>
  </si>
  <si>
    <t>25639000-1 to 25639000-11</t>
  </si>
  <si>
    <t>TR-20260506000039</t>
  </si>
  <si>
    <t>NSM-36 B-15</t>
  </si>
  <si>
    <t>25640000-1 to 25640000-15</t>
  </si>
  <si>
    <t>TR-20260506000040</t>
  </si>
  <si>
    <t>NSM-36 A-20</t>
  </si>
  <si>
    <t>25641000-1 to 25641000-20</t>
  </si>
  <si>
    <t>TR-20260506000041</t>
  </si>
  <si>
    <t>HVM-55 B-21</t>
  </si>
  <si>
    <t>25642000-1 to 25642000-21</t>
  </si>
  <si>
    <t>TR-20260506000042</t>
  </si>
  <si>
    <t>HVM-55 A-34</t>
  </si>
  <si>
    <t>25643000-1 to 25643000-34</t>
  </si>
  <si>
    <t>TR-20260506000043</t>
  </si>
  <si>
    <t>RBK-72 B-21</t>
  </si>
  <si>
    <t>25644000-1 to 25644000-21</t>
  </si>
  <si>
    <t>TR-20260506000044</t>
  </si>
  <si>
    <t>08/05/2026</t>
  </si>
  <si>
    <t>GR2263</t>
  </si>
  <si>
    <t>98401000-1 to 98401000-4</t>
  </si>
  <si>
    <t>TR-20260508000001</t>
  </si>
  <si>
    <t>INSHELL</t>
  </si>
  <si>
    <t>Carter W202</t>
  </si>
  <si>
    <t>Pecans Nuts Inshell</t>
  </si>
  <si>
    <t>98402000-1</t>
  </si>
  <si>
    <t>TR-20260508000002</t>
  </si>
  <si>
    <t>KERNAL</t>
  </si>
  <si>
    <t>Roasted Style-1</t>
  </si>
  <si>
    <t>Macadamia Roasted - Size 1</t>
  </si>
  <si>
    <t>98405000-1</t>
  </si>
  <si>
    <t>TR-20260508000005</t>
  </si>
  <si>
    <t>SIZE-4</t>
  </si>
  <si>
    <t>Roasted Style-4</t>
  </si>
  <si>
    <t>Macadamia Roasted - Size 4</t>
  </si>
  <si>
    <t>98406000-1</t>
  </si>
  <si>
    <t>TR-20260508000006</t>
  </si>
  <si>
    <t>SIZE-6</t>
  </si>
  <si>
    <t>98407000-1</t>
  </si>
  <si>
    <t>TR-20260508000007</t>
  </si>
  <si>
    <t>GR2620</t>
  </si>
  <si>
    <t>MIX A</t>
  </si>
  <si>
    <t>MIX-A Grade</t>
  </si>
  <si>
    <t>Anjeer 1*2</t>
  </si>
  <si>
    <t>MIX-C</t>
  </si>
  <si>
    <t>MIX-C Grade</t>
  </si>
  <si>
    <t>GR2611</t>
  </si>
  <si>
    <t>23/05/2026</t>
  </si>
  <si>
    <t>GR3246</t>
  </si>
  <si>
    <t>SOM-10-14</t>
  </si>
  <si>
    <t>39422689-1 to 39422689-14</t>
  </si>
  <si>
    <t>TR-20260523180019</t>
  </si>
  <si>
    <t>SSP-100-201</t>
  </si>
  <si>
    <t>40911338-1 to 40911338-190</t>
  </si>
  <si>
    <t>TR-20260523182508</t>
  </si>
  <si>
    <t>MSM-51-75</t>
  </si>
  <si>
    <t>PSJ-39-50</t>
  </si>
  <si>
    <t>36199646-1 to 36199646-47</t>
  </si>
  <si>
    <t>TR-20260523170637</t>
  </si>
  <si>
    <t>SDP-50-70</t>
  </si>
  <si>
    <t>33209405-1 to 33209405-70</t>
  </si>
  <si>
    <t>TR-20260523161646</t>
  </si>
  <si>
    <t>SDM-32-45</t>
  </si>
  <si>
    <t>37769549-1 to 37769549-45</t>
  </si>
  <si>
    <t>TR-20260523173245</t>
  </si>
  <si>
    <t>PSS-65-91</t>
  </si>
  <si>
    <t>30918272-1 to 30918272-91</t>
  </si>
  <si>
    <t>TR-20260523153834</t>
  </si>
  <si>
    <t>PSJ-39</t>
  </si>
  <si>
    <t>36199646-48 to 36199646-50</t>
  </si>
  <si>
    <t>SSP-100</t>
  </si>
  <si>
    <t>40911338-191 to 40911338-201</t>
  </si>
  <si>
    <t>20/01/2025</t>
  </si>
  <si>
    <t>GR18282</t>
  </si>
  <si>
    <t>SRK-100-99</t>
  </si>
  <si>
    <t>90513000-1 to 90513000-9</t>
  </si>
  <si>
    <t>TR-20260314174513</t>
  </si>
  <si>
    <t>28/01/2025</t>
  </si>
  <si>
    <t>GR18832</t>
  </si>
  <si>
    <t>90514000-1 to 90514000-11</t>
  </si>
  <si>
    <t>27/02/2025</t>
  </si>
  <si>
    <t>GR20770</t>
  </si>
  <si>
    <t>EX LARGE</t>
  </si>
  <si>
    <t>90516000-1 to 90516000-26</t>
  </si>
  <si>
    <t>TR-20260314174516</t>
  </si>
  <si>
    <t>04/03/2025</t>
  </si>
  <si>
    <t>GR21100</t>
  </si>
  <si>
    <t>LARGE</t>
  </si>
  <si>
    <t>90517000-1 to 90517000-5</t>
  </si>
  <si>
    <t>TR-20260314174517</t>
  </si>
  <si>
    <t>07/03/2025</t>
  </si>
  <si>
    <t>GR21313</t>
  </si>
  <si>
    <t>29/03/2025</t>
  </si>
  <si>
    <t>GR22729</t>
  </si>
  <si>
    <t>Roasted Style-4L</t>
  </si>
  <si>
    <t>Size-4L</t>
  </si>
  <si>
    <t>Macadamia Roasted - Size 4L</t>
  </si>
  <si>
    <t>12/06/2025</t>
  </si>
  <si>
    <t>GR4381</t>
  </si>
  <si>
    <t>18/07/2025</t>
  </si>
  <si>
    <t>GR6846</t>
  </si>
  <si>
    <t>SGP -BROWN</t>
  </si>
  <si>
    <t>Kernels</t>
  </si>
  <si>
    <t>90528000-1 to 90528000-5</t>
  </si>
  <si>
    <t>TR-20260314174528</t>
  </si>
  <si>
    <t>30/07/2025</t>
  </si>
  <si>
    <t>GR7579</t>
  </si>
  <si>
    <t>Size-4</t>
  </si>
  <si>
    <t>Macadamia Roasted Salted - Size 4</t>
  </si>
  <si>
    <t>04/08/2025</t>
  </si>
  <si>
    <t>GR7901</t>
  </si>
  <si>
    <t>STYLE -6</t>
  </si>
  <si>
    <t>90532000-1</t>
  </si>
  <si>
    <t>TR-20260314174532</t>
  </si>
  <si>
    <t>09/10/2025</t>
  </si>
  <si>
    <t>GR11994</t>
  </si>
  <si>
    <t>WHOLE 090191</t>
  </si>
  <si>
    <t>Meduri</t>
  </si>
  <si>
    <t>Dried Cranberry Whole</t>
  </si>
  <si>
    <t>90537000-6 to 90537000-28</t>
  </si>
  <si>
    <t>TR-20260314174537</t>
  </si>
  <si>
    <t>28/10/2025</t>
  </si>
  <si>
    <t>GR13070</t>
  </si>
  <si>
    <t>Org Medjoul-Jumbo</t>
  </si>
  <si>
    <t>Aldaka</t>
  </si>
  <si>
    <t>Aldaka Medjool Premium Jumbo</t>
  </si>
  <si>
    <t>Org Medjoul-Lar</t>
  </si>
  <si>
    <t>Aldaka Medjool Premium Large</t>
  </si>
  <si>
    <t>20/10/2025</t>
  </si>
  <si>
    <t>GR12735</t>
  </si>
  <si>
    <t>TR-20260314174539</t>
  </si>
  <si>
    <t>08/11/2025</t>
  </si>
  <si>
    <t>GR13952</t>
  </si>
  <si>
    <t>502556537</t>
  </si>
  <si>
    <t>Medjoul-Junior</t>
  </si>
  <si>
    <t>Junior</t>
  </si>
  <si>
    <t>Medjoul Dates Junior</t>
  </si>
  <si>
    <t>90543000-1 to 90543000-10</t>
  </si>
  <si>
    <t>18/11/2025</t>
  </si>
  <si>
    <t>GR14754</t>
  </si>
  <si>
    <t>Milk Choc</t>
  </si>
  <si>
    <t>Macadamia Milk Chocolate Clusters</t>
  </si>
  <si>
    <t>Dark Choc</t>
  </si>
  <si>
    <t>Macadamia Dark Chocolate Clusters</t>
  </si>
  <si>
    <t>Honey Roasted</t>
  </si>
  <si>
    <t>Honey Roasted Macadamia Nut</t>
  </si>
  <si>
    <t>Sweet Chilli</t>
  </si>
  <si>
    <t>Sweet Chilli Macadamia Nut</t>
  </si>
  <si>
    <t>GR14753</t>
  </si>
  <si>
    <t>Roasted Style-0</t>
  </si>
  <si>
    <t>Macadamia Roasted - Size 0</t>
  </si>
  <si>
    <t>30/12/2025</t>
  </si>
  <si>
    <t>GR17727</t>
  </si>
  <si>
    <t>TR-20260314174601</t>
  </si>
  <si>
    <t>15/01/2026</t>
  </si>
  <si>
    <t>GR18760</t>
  </si>
  <si>
    <t>25# JTC</t>
  </si>
  <si>
    <t>JTC</t>
  </si>
  <si>
    <t>90572000-1 to 90572000-94, 90573000-1 to 90573000-14</t>
  </si>
  <si>
    <t>90572000-1 to 90572000-94</t>
  </si>
  <si>
    <t>90572000-1 to 90572000-77</t>
  </si>
  <si>
    <t>90572000-1 to 90572000-86</t>
  </si>
  <si>
    <t>90572000-1 to 90572000-81</t>
  </si>
  <si>
    <t>26-28 JTC</t>
  </si>
  <si>
    <t>Irani 26-28</t>
  </si>
  <si>
    <t>Pista Inshell Iranian 26-28</t>
  </si>
  <si>
    <t>90570000-1 to 90570000-68</t>
  </si>
  <si>
    <t>90570000-1 to 90570000-68, 90571000-1 to 90571000-49</t>
  </si>
  <si>
    <t>14/01/2026</t>
  </si>
  <si>
    <t>GR18736</t>
  </si>
  <si>
    <t>B119</t>
  </si>
  <si>
    <t>Fingerlime Jalapeno</t>
  </si>
  <si>
    <t>Fingerline Jalapeno</t>
  </si>
  <si>
    <t>MACADAMIA FINGER LIME &amp; JALAPENO</t>
  </si>
  <si>
    <t>90569000-1 to 90569000-24</t>
  </si>
  <si>
    <t>TR-20260314174609</t>
  </si>
  <si>
    <t>B105</t>
  </si>
  <si>
    <t>Wasabi Style 4</t>
  </si>
  <si>
    <t>WASABI MACADAMIA STYLE 4</t>
  </si>
  <si>
    <t>90568000-1 to 90568000-23</t>
  </si>
  <si>
    <t>TR-20260314174608</t>
  </si>
  <si>
    <t>B111</t>
  </si>
  <si>
    <t>Rosemary &amp; Seasalt</t>
  </si>
  <si>
    <t>MACADAMIA ROSEMARY &amp; SEA SALT</t>
  </si>
  <si>
    <t>90567000-1 to 90567000-23</t>
  </si>
  <si>
    <t>TR-20260314174607</t>
  </si>
  <si>
    <t>GR18900</t>
  </si>
  <si>
    <t>Whole</t>
  </si>
  <si>
    <t>TR-20260314174620</t>
  </si>
  <si>
    <t>31/01/2026</t>
  </si>
  <si>
    <t>GR19678</t>
  </si>
  <si>
    <t>WHOLE</t>
  </si>
  <si>
    <t>90583000-1 to 90583000-856</t>
  </si>
  <si>
    <t>TR-20260314174623</t>
  </si>
  <si>
    <t>04/02/2026</t>
  </si>
  <si>
    <t>GR19922</t>
  </si>
  <si>
    <t>12KG</t>
  </si>
  <si>
    <t>Mamoth</t>
  </si>
  <si>
    <t>90589000-15 to 90589000-98</t>
  </si>
  <si>
    <t>TR-20260314174629</t>
  </si>
  <si>
    <t>06/02/2026</t>
  </si>
  <si>
    <t>GR20053</t>
  </si>
  <si>
    <t>552520202</t>
  </si>
  <si>
    <t>DEGLET NOUR</t>
  </si>
  <si>
    <t>Deglet Dates</t>
  </si>
  <si>
    <t>90591000-1 to 90591000-199</t>
  </si>
  <si>
    <t>TR-20260314174631</t>
  </si>
  <si>
    <t>08/02/2026</t>
  </si>
  <si>
    <t>GR20161</t>
  </si>
  <si>
    <t>90598000-1 to 90598000-200</t>
  </si>
  <si>
    <t>TR-20260314174638</t>
  </si>
  <si>
    <t>XXL</t>
  </si>
  <si>
    <t>Medjoul-Bon Bon</t>
  </si>
  <si>
    <t>Bon Bon</t>
  </si>
  <si>
    <t>Medjoul Dates Premium Bon Bon</t>
  </si>
  <si>
    <t>90599000-2 to 90599000-8</t>
  </si>
  <si>
    <t>16/02/2026</t>
  </si>
  <si>
    <t>GR20645</t>
  </si>
  <si>
    <t>BlackCurrant</t>
  </si>
  <si>
    <t>Dried</t>
  </si>
  <si>
    <t>GREEK DARK SEEDLESS RAISINS (Black Currant)</t>
  </si>
  <si>
    <t>31/03/2026</t>
  </si>
  <si>
    <t>GR23125</t>
  </si>
  <si>
    <t>602509913</t>
  </si>
  <si>
    <t>MEDJOUL DATES JUMBO</t>
  </si>
  <si>
    <t>15201000-58 to 15201000-126</t>
  </si>
  <si>
    <t>TR-20260331000001</t>
  </si>
  <si>
    <t>18/02/2026</t>
  </si>
  <si>
    <t>GR20794</t>
  </si>
  <si>
    <t>442501364</t>
  </si>
  <si>
    <t>Medjoul Dates Large</t>
  </si>
  <si>
    <t>90609000-1 to 90609000-208</t>
  </si>
  <si>
    <t>552520303</t>
  </si>
  <si>
    <t>90624000-1 to 90624000-200</t>
  </si>
  <si>
    <t>21/02/2026</t>
  </si>
  <si>
    <t>GR20995</t>
  </si>
  <si>
    <t>Nona</t>
  </si>
  <si>
    <t>TR-20260314174706</t>
  </si>
  <si>
    <t>24/02/2026</t>
  </si>
  <si>
    <t>GR21092</t>
  </si>
  <si>
    <t>KP-600</t>
  </si>
  <si>
    <t>Magaz</t>
  </si>
  <si>
    <t>Pista Kernel</t>
  </si>
  <si>
    <t>90627000-1 to 90627000-50</t>
  </si>
  <si>
    <t>25/02/2026</t>
  </si>
  <si>
    <t>GR21236</t>
  </si>
  <si>
    <t>672526295</t>
  </si>
  <si>
    <t>90645000-175 to 90645000-194</t>
  </si>
  <si>
    <t>TR-20260314174725</t>
  </si>
  <si>
    <t>672526283</t>
  </si>
  <si>
    <t>90644000-2 to 90644000-194</t>
  </si>
  <si>
    <t>672556861</t>
  </si>
  <si>
    <t>90643000-1 to 90643000-194</t>
  </si>
  <si>
    <t>TR-20260314174723</t>
  </si>
  <si>
    <t>672526284</t>
  </si>
  <si>
    <t>90629000-1 to 90629000-194</t>
  </si>
  <si>
    <t>TR-20260314174709</t>
  </si>
  <si>
    <t>67252699</t>
  </si>
  <si>
    <t>90630000-1 to 90630000-194</t>
  </si>
  <si>
    <t>672526294</t>
  </si>
  <si>
    <t>90631000-51 to 90631000-194</t>
  </si>
  <si>
    <t>TR-20260314174711</t>
  </si>
  <si>
    <t>672526296</t>
  </si>
  <si>
    <t>90632000-1 to 90632000-174</t>
  </si>
  <si>
    <t>672526298</t>
  </si>
  <si>
    <t>90646000-2 to 90646000-194</t>
  </si>
  <si>
    <t>672526292</t>
  </si>
  <si>
    <t>90633000-1 to 90633000-194</t>
  </si>
  <si>
    <t>TR-20260314174713</t>
  </si>
  <si>
    <t>672526293</t>
  </si>
  <si>
    <t>90634000-1 to 90634000-194</t>
  </si>
  <si>
    <t>TR-20260314174714</t>
  </si>
  <si>
    <t>672526280</t>
  </si>
  <si>
    <t>90635000-1 to 90635000-194</t>
  </si>
  <si>
    <t>672526862</t>
  </si>
  <si>
    <t>90636000-1 to 90636000-194</t>
  </si>
  <si>
    <t>TR-20260314174716</t>
  </si>
  <si>
    <t>672526282</t>
  </si>
  <si>
    <t>90637000-1 to 90637000-194</t>
  </si>
  <si>
    <t>672526289</t>
  </si>
  <si>
    <t>90638000-1 to 90638000-194</t>
  </si>
  <si>
    <t>TR-20260314174718</t>
  </si>
  <si>
    <t>672526287</t>
  </si>
  <si>
    <t>90639000-1 to 90639000-194</t>
  </si>
  <si>
    <t>TR-20260314174719</t>
  </si>
  <si>
    <t>672526288</t>
  </si>
  <si>
    <t>90640000-13 to 90640000-144</t>
  </si>
  <si>
    <t>672526285</t>
  </si>
  <si>
    <t>90642000-1 to 90642000-194</t>
  </si>
  <si>
    <t>TR-20260314174722</t>
  </si>
  <si>
    <t>26/02/2026</t>
  </si>
  <si>
    <t>GR21306</t>
  </si>
  <si>
    <t>TUKDA</t>
  </si>
  <si>
    <t>90653000-1 to 90653000-9</t>
  </si>
  <si>
    <t>WASABI</t>
  </si>
  <si>
    <t>90655000-1 to 90655000-2</t>
  </si>
  <si>
    <t>JALAPENO</t>
  </si>
  <si>
    <t>90656000-1 to 90656000-2</t>
  </si>
  <si>
    <t>NUTWORKS</t>
  </si>
  <si>
    <t>90657000-1 to 90657000-2</t>
  </si>
  <si>
    <t>SALTED</t>
  </si>
  <si>
    <t>90658000-1</t>
  </si>
  <si>
    <t>05/03/2026</t>
  </si>
  <si>
    <t>GR21661</t>
  </si>
  <si>
    <t>SLICE</t>
  </si>
  <si>
    <t>90661000-347 to 90661000-418</t>
  </si>
  <si>
    <t>TR-20260314174741</t>
  </si>
  <si>
    <t>12/03/2026</t>
  </si>
  <si>
    <t>GR22128</t>
  </si>
  <si>
    <t>11.850 KG</t>
  </si>
  <si>
    <t>90669000-27 to 90669000-740</t>
  </si>
  <si>
    <t>TR-20260314174749</t>
  </si>
  <si>
    <t>90668000-1 to 90668000-76</t>
  </si>
  <si>
    <t>TR-20260314174748</t>
  </si>
  <si>
    <t>23/03/2026</t>
  </si>
  <si>
    <t>GR22725</t>
  </si>
  <si>
    <t>TR-20260314174813</t>
  </si>
  <si>
    <t>TR-20260314174806</t>
  </si>
  <si>
    <t>TR-20260314174805</t>
  </si>
  <si>
    <t>25/03/2026</t>
  </si>
  <si>
    <t>GR22829</t>
  </si>
  <si>
    <t>SLICED</t>
  </si>
  <si>
    <t>Oceanspray-11.9</t>
  </si>
  <si>
    <t>96801000-1 to 96801000-545</t>
  </si>
  <si>
    <t>TR-20260325000001</t>
  </si>
  <si>
    <t>Oceanspray-12</t>
  </si>
  <si>
    <t>96802000-1 to 96802000-155</t>
  </si>
  <si>
    <t>TR-20260325000002</t>
  </si>
  <si>
    <t>GR23073</t>
  </si>
  <si>
    <t>502575474</t>
  </si>
  <si>
    <t>Medjoul-Medium</t>
  </si>
  <si>
    <t>Medium</t>
  </si>
  <si>
    <t>Medjoul Dates Medium</t>
  </si>
  <si>
    <t>28804000-166 to 28804000-206</t>
  </si>
  <si>
    <t>TR-20260330000004</t>
  </si>
  <si>
    <t>672527023</t>
  </si>
  <si>
    <t>28807000-1 to 28807000-183</t>
  </si>
  <si>
    <t>TR-20260330000007</t>
  </si>
  <si>
    <t>28808000-1 to 28808000-17</t>
  </si>
  <si>
    <t>TR-20260330000008</t>
  </si>
  <si>
    <t>602514328</t>
  </si>
  <si>
    <t>TR-20260330000019</t>
  </si>
  <si>
    <t>602515413</t>
  </si>
  <si>
    <t>28820000-14 to 28820000-160</t>
  </si>
  <si>
    <t>TR-20260330000020</t>
  </si>
  <si>
    <t>28821000-1 to 28821000-2</t>
  </si>
  <si>
    <t>TR-20260330000021</t>
  </si>
  <si>
    <t>602514324</t>
  </si>
  <si>
    <t>28822000-1 to 28822000-203</t>
  </si>
  <si>
    <t>TR-20260330000022</t>
  </si>
  <si>
    <t>28823000-1 to 28823000-7</t>
  </si>
  <si>
    <t>TR-20260330000023</t>
  </si>
  <si>
    <t>602514325</t>
  </si>
  <si>
    <t>28824000-1 to 28824000-120</t>
  </si>
  <si>
    <t>TR-20260330000024</t>
  </si>
  <si>
    <t>602514326</t>
  </si>
  <si>
    <t>28825000-1 to 28825000-210</t>
  </si>
  <si>
    <t>TR-20260330000025</t>
  </si>
  <si>
    <t>672541529</t>
  </si>
  <si>
    <t>28826000-1 to 28826000-60</t>
  </si>
  <si>
    <t>TR-20260330000026</t>
  </si>
  <si>
    <t>GR16</t>
  </si>
  <si>
    <t>DERI</t>
  </si>
  <si>
    <t>01607000-1 to 01607000-1755, 01608000-1 to 01608000-45</t>
  </si>
  <si>
    <t>01607000-1 to 01607000-1755</t>
  </si>
  <si>
    <t>01609000-1 to 01609000-423</t>
  </si>
  <si>
    <t>TR-20260401000009</t>
  </si>
  <si>
    <t>01610000-1 to 01610000-21</t>
  </si>
  <si>
    <t>TR-20260401000010</t>
  </si>
  <si>
    <t>GR747</t>
  </si>
  <si>
    <t>Org Khidri-Large</t>
  </si>
  <si>
    <t>Organic Khidri Large dates</t>
  </si>
  <si>
    <t>90526000-1</t>
  </si>
  <si>
    <t>90525000-1</t>
  </si>
  <si>
    <t>90524000-1</t>
  </si>
  <si>
    <t>24/07/2025</t>
  </si>
  <si>
    <t>GR3016</t>
  </si>
  <si>
    <t>Mix</t>
  </si>
  <si>
    <t>90529000-1 to 90529000-118</t>
  </si>
  <si>
    <t>TR-20260314174529</t>
  </si>
  <si>
    <t>29/09/2025</t>
  </si>
  <si>
    <t>GR4577</t>
  </si>
  <si>
    <t>552420400</t>
  </si>
  <si>
    <t>90535000-1 to 90535000-165</t>
  </si>
  <si>
    <t>TR-20260314174535</t>
  </si>
  <si>
    <t>502420403</t>
  </si>
  <si>
    <t>90536000-1 to 90536000-175</t>
  </si>
  <si>
    <t>10/10/2025</t>
  </si>
  <si>
    <t>GR4846</t>
  </si>
  <si>
    <t>No-2</t>
  </si>
  <si>
    <t>90538000-1 to 90538000-249</t>
  </si>
  <si>
    <t>TR-20260314174538</t>
  </si>
  <si>
    <t>15/11/2025</t>
  </si>
  <si>
    <t>GR5756</t>
  </si>
  <si>
    <t>Org Khidri-Jumbo</t>
  </si>
  <si>
    <t>Organic Khidri Special Jumbo</t>
  </si>
  <si>
    <t>TR-20260314174547</t>
  </si>
  <si>
    <t>25/11/2025</t>
  </si>
  <si>
    <t>GR6001</t>
  </si>
  <si>
    <t>04/12/2025</t>
  </si>
  <si>
    <t>GR6226</t>
  </si>
  <si>
    <t>Medjoul-Large HM</t>
  </si>
  <si>
    <t>06/12/2025</t>
  </si>
  <si>
    <t>GR6286</t>
  </si>
  <si>
    <t>HM</t>
  </si>
  <si>
    <t>HOH</t>
  </si>
  <si>
    <t>90557000-1 to 90557000-9</t>
  </si>
  <si>
    <t>TR-20260314174557</t>
  </si>
  <si>
    <t>27/01/2026</t>
  </si>
  <si>
    <t>GR7474</t>
  </si>
  <si>
    <t>602504579</t>
  </si>
  <si>
    <t>90582000-1 to 90582000-50</t>
  </si>
  <si>
    <t>09/12/2025</t>
  </si>
  <si>
    <t>GR6353</t>
  </si>
  <si>
    <t>TR-20260314174558</t>
  </si>
  <si>
    <t>20/12/2025</t>
  </si>
  <si>
    <t>GR6624</t>
  </si>
  <si>
    <t>NB 777</t>
  </si>
  <si>
    <t>Seedless 1*2</t>
  </si>
  <si>
    <t>Black</t>
  </si>
  <si>
    <t>Afghan Black Raisins Seedless 1*2</t>
  </si>
  <si>
    <t>90559000-68 to 90559000-190</t>
  </si>
  <si>
    <t>TR-20260314174559</t>
  </si>
  <si>
    <t>09/01/2026</t>
  </si>
  <si>
    <t>GR7065</t>
  </si>
  <si>
    <t>4KGX2</t>
  </si>
  <si>
    <t>90562000-1 to 90562000-3</t>
  </si>
  <si>
    <t>GR8116</t>
  </si>
  <si>
    <t>TR-20260314174705</t>
  </si>
  <si>
    <t>GR8220</t>
  </si>
  <si>
    <t>162095</t>
  </si>
  <si>
    <t>90659000-1</t>
  </si>
  <si>
    <t>TR-20260314174739</t>
  </si>
  <si>
    <t>162074</t>
  </si>
  <si>
    <t>64001000-1</t>
  </si>
  <si>
    <t>TR-20260226000001</t>
  </si>
  <si>
    <t>76576</t>
  </si>
  <si>
    <t>76577</t>
  </si>
  <si>
    <t>Org Khidri-Med</t>
  </si>
  <si>
    <t>Organic Khidri Premium Medium</t>
  </si>
  <si>
    <t>90648000-1</t>
  </si>
  <si>
    <t>TR-20260314174728</t>
  </si>
  <si>
    <t>9495</t>
  </si>
  <si>
    <t>90649000-1</t>
  </si>
  <si>
    <t>TR-20260314174729</t>
  </si>
  <si>
    <t>9496</t>
  </si>
  <si>
    <t>90650000-1</t>
  </si>
  <si>
    <t>9497</t>
  </si>
  <si>
    <t>90651000-1</t>
  </si>
  <si>
    <t>TR-20260314174731</t>
  </si>
  <si>
    <t>9498</t>
  </si>
  <si>
    <t>90652000-1</t>
  </si>
  <si>
    <t>TR-20260314174732</t>
  </si>
  <si>
    <t>26/03/2026</t>
  </si>
  <si>
    <t>GR8759</t>
  </si>
  <si>
    <t>Large No-2</t>
  </si>
  <si>
    <t>TR-20260326000002</t>
  </si>
  <si>
    <t>HIGH MOISTURE</t>
  </si>
  <si>
    <t>High Moisture</t>
  </si>
  <si>
    <t>83203000-1 to 83203000-47</t>
  </si>
  <si>
    <t>TR-20260326000003</t>
  </si>
  <si>
    <t>04/04/2026</t>
  </si>
  <si>
    <t>GR77</t>
  </si>
  <si>
    <t>250 GM</t>
  </si>
  <si>
    <t>Kernels 2pc 250gm</t>
  </si>
  <si>
    <t>250gm</t>
  </si>
  <si>
    <t>California Walnut Kernels 2pc</t>
  </si>
  <si>
    <t>60801000-1 to 60801000-30</t>
  </si>
  <si>
    <t>TR-20260404000001</t>
  </si>
  <si>
    <t>07/04/2026</t>
  </si>
  <si>
    <t>GR120</t>
  </si>
  <si>
    <t>2KG TAB</t>
  </si>
  <si>
    <t>Paste-2Kg Tub</t>
  </si>
  <si>
    <t>Paste</t>
  </si>
  <si>
    <t>Macadamia Paste</t>
  </si>
  <si>
    <t>20001000-1 to 20001000-28</t>
  </si>
  <si>
    <t>TR-20260407000001</t>
  </si>
  <si>
    <t>20/04/2026</t>
  </si>
  <si>
    <t>GR463</t>
  </si>
  <si>
    <t>602510339</t>
  </si>
  <si>
    <t>43202000-1 to 43202000-210</t>
  </si>
  <si>
    <t>TR-20260420000002</t>
  </si>
  <si>
    <t>602510340</t>
  </si>
  <si>
    <t>43203000-1 to 43203000-210</t>
  </si>
  <si>
    <t>TR-20260420000003</t>
  </si>
  <si>
    <t>602510341</t>
  </si>
  <si>
    <t>43204000-201 to 43204000-210</t>
  </si>
  <si>
    <t>TR-20260420000004</t>
  </si>
  <si>
    <t>GR464</t>
  </si>
  <si>
    <t>602512323</t>
  </si>
  <si>
    <t>43205000-1 to 43205000-210</t>
  </si>
  <si>
    <t>TR-20260420000005</t>
  </si>
  <si>
    <t>602512324</t>
  </si>
  <si>
    <t>43206000-1 to 43206000-210</t>
  </si>
  <si>
    <t>TR-20260420000006</t>
  </si>
  <si>
    <t>602512325</t>
  </si>
  <si>
    <t>43207000-1 to 43207000-210</t>
  </si>
  <si>
    <t>TR-20260420000007</t>
  </si>
  <si>
    <t>602512326</t>
  </si>
  <si>
    <t>43208000-1 to 43208000-208</t>
  </si>
  <si>
    <t>TR-20260420000008</t>
  </si>
  <si>
    <t>602512327</t>
  </si>
  <si>
    <t>43209000-1 to 43209000-210</t>
  </si>
  <si>
    <t>TR-20260420000009</t>
  </si>
  <si>
    <t>602512328</t>
  </si>
  <si>
    <t>43210000-1 to 43210000-210</t>
  </si>
  <si>
    <t>TR-20260420000010</t>
  </si>
  <si>
    <t>602512329</t>
  </si>
  <si>
    <t>43211000-1 to 43211000-210</t>
  </si>
  <si>
    <t>TR-20260420000011</t>
  </si>
  <si>
    <t>602512330</t>
  </si>
  <si>
    <t>43212000-1 to 43212000-210</t>
  </si>
  <si>
    <t>TR-20260420000012</t>
  </si>
  <si>
    <t>602512331</t>
  </si>
  <si>
    <t>43213000-1 to 43213000-210</t>
  </si>
  <si>
    <t>TR-20260420000013</t>
  </si>
  <si>
    <t>602512332</t>
  </si>
  <si>
    <t>43214000-1 to 43214000-210</t>
  </si>
  <si>
    <t>TR-20260420000014</t>
  </si>
  <si>
    <t>GR1375</t>
  </si>
  <si>
    <t>500 GMS</t>
  </si>
  <si>
    <t>500gm W202</t>
  </si>
  <si>
    <t>King Solomon Medjoul Dates 500 Gms</t>
  </si>
  <si>
    <t>GR1386</t>
  </si>
  <si>
    <t>1350205472</t>
  </si>
  <si>
    <t>Medjoul-Sup.Jumbo</t>
  </si>
  <si>
    <t>Medjoul Dates Super Jumbo</t>
  </si>
  <si>
    <t>1950105106</t>
  </si>
  <si>
    <t>Amary</t>
  </si>
  <si>
    <t>Amary Dates</t>
  </si>
  <si>
    <t>08/11/2024</t>
  </si>
  <si>
    <t>GR5551</t>
  </si>
  <si>
    <t>90506000-1 to 90506000-33</t>
  </si>
  <si>
    <t>TR-20260314174506</t>
  </si>
  <si>
    <t>GR5550</t>
  </si>
  <si>
    <t>PR.MEDIUM</t>
  </si>
  <si>
    <t>90504000-1 to 90504000-49</t>
  </si>
  <si>
    <t>14/11/2024</t>
  </si>
  <si>
    <t>GR5704</t>
  </si>
  <si>
    <t>90507000-1 to 90507000-30</t>
  </si>
  <si>
    <t>TR-20260314174507</t>
  </si>
  <si>
    <t>90505000-1 to 90505000-6</t>
  </si>
  <si>
    <t>TR-20260314174505</t>
  </si>
  <si>
    <t>01/12/2024</t>
  </si>
  <si>
    <t>GR6074</t>
  </si>
  <si>
    <t>PREMIUM LARGE</t>
  </si>
  <si>
    <t>90511000-1</t>
  </si>
  <si>
    <t>TR-20260314174511</t>
  </si>
  <si>
    <t>27/11/2024</t>
  </si>
  <si>
    <t>GR5973</t>
  </si>
  <si>
    <t>TR-20241127000001</t>
  </si>
  <si>
    <t>TR-20260314174510</t>
  </si>
  <si>
    <t>GR8551</t>
  </si>
  <si>
    <t>12 KG</t>
  </si>
  <si>
    <t>90519000-1 to 90519000-6</t>
  </si>
  <si>
    <t>11/02/2026</t>
  </si>
  <si>
    <t>GR7864</t>
  </si>
  <si>
    <t>1350905471</t>
  </si>
  <si>
    <t>Savla Bond</t>
  </si>
  <si>
    <t>68001000-1 to 68001000-210</t>
  </si>
  <si>
    <t>TR-20260211000001</t>
  </si>
  <si>
    <t>68002000-1 to 68002000-210</t>
  </si>
  <si>
    <t>TR-20260211000002</t>
  </si>
  <si>
    <t>90728000-1 to 90728000-210</t>
  </si>
  <si>
    <t>TR-20260314174848</t>
  </si>
  <si>
    <t>1350105480</t>
  </si>
  <si>
    <t>90725000-1 to 90725000-210</t>
  </si>
  <si>
    <t>TR-20260314174845</t>
  </si>
  <si>
    <t>90724000-1 to 90724000-210</t>
  </si>
  <si>
    <t>TR-20260314174844</t>
  </si>
  <si>
    <t>90723000-1 to 90723000-210</t>
  </si>
  <si>
    <t>TR-20260314174843</t>
  </si>
  <si>
    <t>90722000-1 to 90722000-210</t>
  </si>
  <si>
    <t>TR-20260314174842</t>
  </si>
  <si>
    <t>90721000-1 to 90721000-210</t>
  </si>
  <si>
    <t>TR-20260314174841</t>
  </si>
  <si>
    <t>90720000-1 to 90720000-210</t>
  </si>
  <si>
    <t>TR-20260314174840</t>
  </si>
  <si>
    <t>90719000-1 to 90719000-210</t>
  </si>
  <si>
    <t>TR-20260314174839</t>
  </si>
  <si>
    <t>90718000-1 to 90718000-210</t>
  </si>
  <si>
    <t>TR-20260314174838</t>
  </si>
  <si>
    <t>90717000-1 to 90717000-210</t>
  </si>
  <si>
    <t>TR-20260314174837</t>
  </si>
  <si>
    <t>90716000-1 to 90716000-210</t>
  </si>
  <si>
    <t>TR-20260314174836</t>
  </si>
  <si>
    <t>90715000-1 to 90715000-210</t>
  </si>
  <si>
    <t>TR-20260314174835</t>
  </si>
  <si>
    <t>90714000-1 to 90714000-210</t>
  </si>
  <si>
    <t>TR-20260314174834</t>
  </si>
  <si>
    <t>90712000-1 to 90712000-210</t>
  </si>
  <si>
    <t>TR-20260314174832</t>
  </si>
  <si>
    <t>90713000-1 to 90713000-210</t>
  </si>
  <si>
    <t>TR-20260314174833</t>
  </si>
  <si>
    <t>GR468</t>
  </si>
  <si>
    <t>902503145</t>
  </si>
  <si>
    <t>Medjoul-Large-Seedless</t>
  </si>
  <si>
    <t>Large Seedless</t>
  </si>
  <si>
    <t>MEDJOUL LARGE PITTED WET DATES</t>
  </si>
  <si>
    <t>29606000-1 to 29606000-200</t>
  </si>
  <si>
    <t>TR-20260421000006</t>
  </si>
  <si>
    <t>302514332</t>
  </si>
  <si>
    <t>29607000-1 to 29607000-210</t>
  </si>
  <si>
    <t>TR-20260421000007</t>
  </si>
  <si>
    <t>602515419</t>
  </si>
  <si>
    <t>29608000-1 to 29608000-210</t>
  </si>
  <si>
    <t>TR-20260421000008</t>
  </si>
  <si>
    <t>602515418</t>
  </si>
  <si>
    <t>29609000-1 to 29609000-210</t>
  </si>
  <si>
    <t>TR-20260421000009</t>
  </si>
  <si>
    <t>602515417</t>
  </si>
  <si>
    <t>29610000-1 to 29610000-210</t>
  </si>
  <si>
    <t>TR-20260421000010</t>
  </si>
  <si>
    <t>602514331</t>
  </si>
  <si>
    <t>29611000-1 to 29611000-210</t>
  </si>
  <si>
    <t>TR-20260421000011</t>
  </si>
  <si>
    <t>602515416</t>
  </si>
  <si>
    <t>29612000-1 to 29612000-210</t>
  </si>
  <si>
    <t>TR-20260421000012</t>
  </si>
  <si>
    <t>602515415</t>
  </si>
  <si>
    <t>29613000-1 to 29613000-210</t>
  </si>
  <si>
    <t>TR-20260421000013</t>
  </si>
  <si>
    <t>602514333</t>
  </si>
  <si>
    <t>29614000-1 to 29614000-210</t>
  </si>
  <si>
    <t>TR-20260421000014</t>
  </si>
  <si>
    <t>502575491</t>
  </si>
  <si>
    <t>29615000-1 to 29615000-210</t>
  </si>
  <si>
    <t>TR-20260421000015</t>
  </si>
  <si>
    <t>29616000-1 to 29616000-210</t>
  </si>
  <si>
    <t>TR-20260421000016</t>
  </si>
  <si>
    <t>502575492</t>
  </si>
  <si>
    <t>29617000-1 to 29617000-210</t>
  </si>
  <si>
    <t>TR-20260421000017</t>
  </si>
  <si>
    <t>502575489</t>
  </si>
  <si>
    <t>29618000-1 to 29618000-210</t>
  </si>
  <si>
    <t>TR-20260421000018</t>
  </si>
  <si>
    <t>5625322570</t>
  </si>
  <si>
    <t>29619000-1 to 29619000-210</t>
  </si>
  <si>
    <t>TR-20260421000019</t>
  </si>
  <si>
    <t>502575478</t>
  </si>
  <si>
    <t>29620000-1 to 29620000-210</t>
  </si>
  <si>
    <t>TR-20260421000020</t>
  </si>
  <si>
    <t>502575475</t>
  </si>
  <si>
    <t>29621000-1 to 29621000-210</t>
  </si>
  <si>
    <t>TR-20260421000021</t>
  </si>
  <si>
    <t>502575477</t>
  </si>
  <si>
    <t>29622000-1 to 29622000-210</t>
  </si>
  <si>
    <t>TR-20260421000022</t>
  </si>
  <si>
    <t>562532256</t>
  </si>
  <si>
    <t>29623000-1 to 29623000-210</t>
  </si>
  <si>
    <t>TR-20260421000023</t>
  </si>
  <si>
    <t>2025140211</t>
  </si>
  <si>
    <t>29624000-1 to 29624000-200</t>
  </si>
  <si>
    <t>TR-20260421000024</t>
  </si>
  <si>
    <t>2025140202</t>
  </si>
  <si>
    <t>29625000-1 to 29625000-200</t>
  </si>
  <si>
    <t>TR-20260421000025</t>
  </si>
  <si>
    <t>TOTAL</t>
  </si>
  <si>
    <t>TR-20260323000001</t>
  </si>
  <si>
    <t>24001000-301 to 24001000-2055</t>
  </si>
  <si>
    <t>Prem. Harvest</t>
  </si>
  <si>
    <t>25601000-1 to 25601000-1263</t>
  </si>
  <si>
    <t>TR-20260506000001</t>
  </si>
  <si>
    <t>07201000-441 to 07201000-1170</t>
  </si>
  <si>
    <t>90542000-1 to 90542000-3</t>
  </si>
  <si>
    <t>79699517-1 to 79699517-310</t>
  </si>
  <si>
    <t>77127594-1 to 77127594-375</t>
  </si>
  <si>
    <t>77127595-1 to 77127594-235</t>
  </si>
  <si>
    <t>12345678-1 to 12345678-5</t>
  </si>
  <si>
    <t xml:space="preserve">79706305-1 to 79706305 - 104 </t>
  </si>
  <si>
    <t>TR-20260516162312</t>
  </si>
  <si>
    <t>TR-20260514162010</t>
  </si>
  <si>
    <t>TR-20260509000211</t>
  </si>
  <si>
    <t>TR-20260509000111</t>
  </si>
  <si>
    <t>TR-20260314174556</t>
  </si>
  <si>
    <t>90556000-1 to 90556000-47</t>
  </si>
  <si>
    <t xml:space="preserve">79707095-1 </t>
  </si>
  <si>
    <t>TR-20250430160289</t>
  </si>
  <si>
    <t>TR-20260523111106</t>
  </si>
  <si>
    <t>TR-20260314174850</t>
  </si>
  <si>
    <t>TR-20260314174846</t>
  </si>
  <si>
    <t>TR-20260314174847</t>
  </si>
  <si>
    <t>DATES</t>
  </si>
  <si>
    <t>Powder</t>
  </si>
  <si>
    <t>Diced</t>
  </si>
  <si>
    <t>OFF-GRADE DATES</t>
  </si>
  <si>
    <t>Seqee</t>
  </si>
  <si>
    <t>Wanan</t>
  </si>
  <si>
    <t>Syrup</t>
  </si>
  <si>
    <t>Safavi</t>
  </si>
  <si>
    <t>Spread</t>
  </si>
  <si>
    <t>Khidri</t>
  </si>
  <si>
    <t>RAISIN</t>
  </si>
  <si>
    <t>Raisin - Indian</t>
  </si>
  <si>
    <t>PREMIUM NUTS</t>
  </si>
  <si>
    <t>Macadamia Nuts</t>
  </si>
  <si>
    <t>Deglet</t>
  </si>
  <si>
    <t>CRANBERRY</t>
  </si>
  <si>
    <t>Cranberry - Whole</t>
  </si>
  <si>
    <t>Raisin - Black</t>
  </si>
  <si>
    <t>PISTA</t>
  </si>
  <si>
    <t>Pista - Inshell</t>
  </si>
  <si>
    <t>Pista - Irani</t>
  </si>
  <si>
    <t>BLACKCURRANT</t>
  </si>
  <si>
    <t>Dried Blackcurrant</t>
  </si>
  <si>
    <t>Cranberry - Sliced</t>
  </si>
  <si>
    <t>Pista - Kernel</t>
  </si>
  <si>
    <t>WALNUT</t>
  </si>
  <si>
    <t>Walnut - Kernel</t>
  </si>
  <si>
    <t>SEEDS</t>
  </si>
  <si>
    <t>ALMOND</t>
  </si>
  <si>
    <t>Almond - Kernels</t>
  </si>
  <si>
    <t>ANJEER</t>
  </si>
  <si>
    <t>Dried Figs</t>
  </si>
  <si>
    <t>Medjoul-Super Jumbo</t>
  </si>
  <si>
    <t>Medjoul-General</t>
  </si>
  <si>
    <t>Sayer</t>
  </si>
  <si>
    <t>Maryam</t>
  </si>
  <si>
    <t>Sukhary</t>
  </si>
  <si>
    <t>TR-20260523180415</t>
  </si>
  <si>
    <t>39658235-1 to 39658235-75</t>
  </si>
  <si>
    <t>TR-20260423000002</t>
  </si>
  <si>
    <t>TR-20260423000003</t>
  </si>
  <si>
    <t>TR-20260423000004</t>
  </si>
  <si>
    <t>TR-20260423000005</t>
  </si>
  <si>
    <t>TR-20260423000006</t>
  </si>
  <si>
    <t>TR-20260423000007</t>
  </si>
  <si>
    <t xml:space="preserve"> TR-20260423000008</t>
  </si>
  <si>
    <t>TR-20260423000009</t>
  </si>
  <si>
    <t>TR-20260314174610</t>
  </si>
  <si>
    <t>TR-20260314174611</t>
  </si>
  <si>
    <t xml:space="preserve"> TR-20260314174613</t>
  </si>
  <si>
    <t>TR-20260314174614</t>
  </si>
  <si>
    <t>TR-20260314174615</t>
  </si>
  <si>
    <t>TR-20260314174616</t>
  </si>
  <si>
    <t>TR-20260314174617</t>
  </si>
  <si>
    <t>TR-20260314174618</t>
  </si>
  <si>
    <t>TR-20260401000007</t>
  </si>
  <si>
    <t>TR-20260401000008</t>
  </si>
  <si>
    <t xml:space="preserve">TR-20260414000002 </t>
  </si>
  <si>
    <t>TR-20260414000003</t>
  </si>
  <si>
    <t>TR-20260414000001</t>
  </si>
  <si>
    <t>TR-20260330000002</t>
  </si>
  <si>
    <t>TR-20260330000003</t>
  </si>
  <si>
    <t>TR-20260314174512</t>
  </si>
  <si>
    <t>TR-20260415174307</t>
  </si>
  <si>
    <t>55189387-4 , 55189387-1004</t>
  </si>
  <si>
    <t>55189387-1005 to 55189387-436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</si>
</sst>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\₹#,##0.00"/>
  </numFmts>
  <fonts count="9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0"/>
      <color rgb="FFFFFFFF"/>
      <name val="Calibri"/>
      <charset val="1"/>
    </font>
    <font>
      <sz val="10"/>
      <name val="Calibri"/>
      <charset val="1"/>
    </font>
    <font>
      <b/>
      <sz val="11"/>
      <color rgb="FF1F4E78"/>
      <name val="Cambria"/>
      <charset val="1"/>
    </font>
    <font>
      <b/>
      <sz val="10"/>
      <color rgb="FF1F4E78"/>
      <name val="Cambria"/>
      <charset val="1"/>
    </font>
    <font>
      <b/>
      <sz val="10"/>
      <name val="Cambria"/>
      <charset val="1"/>
    </font>
    <font>
      <i/>
      <sz val="9"/>
      <color rgb="FF666666"/>
      <name val="Cambria"/>
      <charset val="1"/>
    </font>
    <font>
      <i/>
      <sz val="9"/>
      <color rgb="FF006100"/>
      <name val="Cambria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  <fill>
      <patternFill patternType="solid">
        <fgColor rgb="FFD6E4F0"/>
        <bgColor rgb="FFF2F2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1F4E78"/>
      </top>
      <bottom style="medium">
        <color rgb="FF1F4E78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3" fontId="3" fillId="3" borderId="1" xfId="0" applyNumberFormat="1" applyFont="1" applyFill="1" applyBorder="1" applyAlignment="1">
      <alignment horizontal="right" vertical="center"/>
    </xf>
    <xf numFmtId="4" fontId="3" fillId="3" borderId="1" xfId="0" applyNumberFormat="1" applyFont="1" applyFill="1" applyBorder="1" applyAlignment="1">
      <alignment horizontal="right" vertical="center"/>
    </xf>
    <xf numFmtId="165" fontId="3" fillId="3" borderId="1" xfId="0" applyNumberFormat="1" applyFont="1" applyFill="1" applyBorder="1" applyAlignment="1">
      <alignment horizontal="right" vertic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right" vertical="center"/>
    </xf>
    <xf numFmtId="4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3" fontId="3" fillId="4" borderId="1" xfId="0" applyNumberFormat="1" applyFont="1" applyFill="1" applyBorder="1" applyAlignment="1">
      <alignment horizontal="right" vertical="center"/>
    </xf>
    <xf numFmtId="4" fontId="3" fillId="4" borderId="1" xfId="0" applyNumberFormat="1" applyFont="1" applyFill="1" applyBorder="1" applyAlignment="1">
      <alignment horizontal="right" vertical="center"/>
    </xf>
    <xf numFmtId="165" fontId="3" fillId="4" borderId="1" xfId="0" applyNumberFormat="1" applyFont="1" applyFill="1" applyBorder="1" applyAlignment="1">
      <alignment horizontal="right" vertical="center"/>
    </xf>
    <xf numFmtId="0" fontId="4" fillId="5" borderId="2" xfId="0" applyFont="1" applyFill="1" applyBorder="1"/>
    <xf numFmtId="0" fontId="0" fillId="5" borderId="2" xfId="0" applyFill="1" applyBorder="1"/>
    <xf numFmtId="3" fontId="5" fillId="5" borderId="2" xfId="0" applyNumberFormat="1" applyFont="1" applyFill="1" applyBorder="1"/>
    <xf numFmtId="4" fontId="5" fillId="5" borderId="2" xfId="0" applyNumberFormat="1" applyFont="1" applyFill="1" applyBorder="1"/>
    <xf numFmtId="165" fontId="5" fillId="5" borderId="2" xfId="0" applyNumberFormat="1" applyFont="1" applyFill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3" fontId="0" fillId="0" borderId="0" xfId="0" applyNumberFormat="1"/>
  </cellXfs>
  <cellStyles count="2">
    <cellStyle name="Normal" xfId="0" builtinId="0"/>
    <cellStyle name="Normal 2" xfId="1" xr:uid="{89E7B02E-AE99-4A8A-9096-FDF4B82F7657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Candor%20Foods\cold\shubham%20Consolidated_CDPL_CFPL_Cold_Stocks_24May2026.xlsx" TargetMode="External"/><Relationship Id="rId1" Type="http://schemas.openxmlformats.org/officeDocument/2006/relationships/externalLinkPath" Target="file:///E:\Candor%20Foods\cold\shubham%20Consolidated_CDPL_CFPL_Cold_Stocks_24May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olidated Stock"/>
      <sheetName val="Summary"/>
    </sheetNames>
    <sheetDataSet>
      <sheetData sheetId="0">
        <row r="1">
          <cell r="E1" t="str">
            <v>Lot No</v>
          </cell>
          <cell r="F1" t="str">
            <v>Net Qty On Cartons</v>
          </cell>
          <cell r="G1" t="str">
            <v>Weight KG</v>
          </cell>
          <cell r="H1" t="str">
            <v>Total Inventory Kgs</v>
          </cell>
          <cell r="I1" t="str">
            <v>Group Name</v>
          </cell>
          <cell r="J1" t="str">
            <v>Sub Group Name</v>
          </cell>
          <cell r="K1" t="str">
            <v>Item Mark</v>
          </cell>
          <cell r="L1" t="str">
            <v>Spl. Remark</v>
          </cell>
          <cell r="M1" t="str">
            <v>ITEM DESCRIPTION</v>
          </cell>
          <cell r="N1" t="str">
            <v>Company Name</v>
          </cell>
          <cell r="O1" t="str">
            <v>Storage Location</v>
          </cell>
          <cell r="P1" t="str">
            <v>Exporter</v>
          </cell>
          <cell r="Q1" t="str">
            <v>Last Purchase Rate</v>
          </cell>
          <cell r="R1" t="str">
            <v>Value</v>
          </cell>
          <cell r="S1" t="str">
            <v>Ageing</v>
          </cell>
          <cell r="T1" t="str">
            <v>Ageing Bucket</v>
          </cell>
          <cell r="U1" t="str">
            <v>Box Count</v>
          </cell>
          <cell r="V1" t="str">
            <v>Box ID Range</v>
          </cell>
        </row>
        <row r="2">
          <cell r="E2" t="str">
            <v>125883</v>
          </cell>
          <cell r="F2">
            <v>127</v>
          </cell>
          <cell r="G2">
            <v>10.6</v>
          </cell>
          <cell r="H2">
            <v>1346.2</v>
          </cell>
          <cell r="I2" t="str">
            <v>DATES</v>
          </cell>
          <cell r="J2" t="str">
            <v>Fard</v>
          </cell>
          <cell r="K2"/>
          <cell r="L2"/>
          <cell r="M2" t="str">
            <v>AL BARAKAH FARD DATES STANDARD C 10KG</v>
          </cell>
          <cell r="N2" t="str">
            <v>CDPL</v>
          </cell>
          <cell r="O2" t="str">
            <v>Rishi</v>
          </cell>
          <cell r="P2" t="str">
            <v>AL BARAKAH DATES FACTORY LLC</v>
          </cell>
          <cell r="Q2">
            <v>200</v>
          </cell>
          <cell r="R2">
            <v>269240</v>
          </cell>
          <cell r="S2">
            <v>74</v>
          </cell>
          <cell r="T2" t="str">
            <v>61-90 Days</v>
          </cell>
          <cell r="U2">
            <v>127</v>
          </cell>
          <cell r="V2" t="str">
            <v>24668911-1 to 24668911-127</v>
          </cell>
        </row>
        <row r="3">
          <cell r="E3" t="str">
            <v>125883</v>
          </cell>
          <cell r="F3">
            <v>2272</v>
          </cell>
          <cell r="G3">
            <v>10</v>
          </cell>
          <cell r="H3">
            <v>22720</v>
          </cell>
          <cell r="I3" t="str">
            <v>DATES</v>
          </cell>
          <cell r="J3" t="str">
            <v>Fard</v>
          </cell>
          <cell r="K3"/>
          <cell r="L3"/>
          <cell r="M3" t="str">
            <v>AL BARAKAH FARD DATES STANDARD C 10KG</v>
          </cell>
          <cell r="N3" t="str">
            <v>CDPL</v>
          </cell>
          <cell r="O3" t="str">
            <v>Rishi</v>
          </cell>
          <cell r="P3" t="str">
            <v>AL BARAKAH DATES FACTORY LLC</v>
          </cell>
          <cell r="Q3"/>
          <cell r="R3">
            <v>0</v>
          </cell>
          <cell r="S3">
            <v>74</v>
          </cell>
          <cell r="T3" t="str">
            <v>61-90 Days</v>
          </cell>
          <cell r="U3">
            <v>2272</v>
          </cell>
          <cell r="V3" t="str">
            <v>10166788-1 to 10166788-2272</v>
          </cell>
        </row>
        <row r="4">
          <cell r="E4"/>
          <cell r="F4">
            <v>500</v>
          </cell>
          <cell r="G4">
            <v>10</v>
          </cell>
          <cell r="H4">
            <v>5000</v>
          </cell>
          <cell r="I4" t="str">
            <v>DATES</v>
          </cell>
          <cell r="J4" t="str">
            <v>Zahidi</v>
          </cell>
          <cell r="K4"/>
          <cell r="L4"/>
          <cell r="M4" t="str">
            <v>Wet Dates Zahidi</v>
          </cell>
          <cell r="N4" t="str">
            <v>CDPL</v>
          </cell>
          <cell r="O4" t="str">
            <v>Rishi</v>
          </cell>
          <cell r="P4" t="str">
            <v>MAHARWAN TRADING CO.</v>
          </cell>
          <cell r="Q4"/>
          <cell r="R4">
            <v>0</v>
          </cell>
          <cell r="S4">
            <v>64</v>
          </cell>
          <cell r="T4" t="str">
            <v>61-90 Days</v>
          </cell>
          <cell r="U4">
            <v>500</v>
          </cell>
          <cell r="V4" t="str">
            <v>97598567-1 to 97598567-500</v>
          </cell>
        </row>
        <row r="5">
          <cell r="E5"/>
          <cell r="F5">
            <v>1850</v>
          </cell>
          <cell r="G5">
            <v>10</v>
          </cell>
          <cell r="H5">
            <v>18500</v>
          </cell>
          <cell r="I5" t="str">
            <v>DATES</v>
          </cell>
          <cell r="J5" t="str">
            <v>Fard</v>
          </cell>
          <cell r="K5"/>
          <cell r="L5"/>
          <cell r="M5" t="str">
            <v>AL BARAKAH FARD DATES STANDARD C 10KG</v>
          </cell>
          <cell r="N5" t="str">
            <v>CDPL</v>
          </cell>
          <cell r="O5" t="str">
            <v>Rishi</v>
          </cell>
          <cell r="P5" t="str">
            <v>AL BARAKAH DATES FACTORY LLC</v>
          </cell>
          <cell r="Q5"/>
          <cell r="R5">
            <v>0</v>
          </cell>
          <cell r="S5">
            <v>78</v>
          </cell>
          <cell r="T5" t="str">
            <v>61-90 Days</v>
          </cell>
          <cell r="U5">
            <v>1850</v>
          </cell>
          <cell r="V5" t="str">
            <v>78232181-504, 78233177-509, 78233885-513, 78234935-518, 78235976-523, 78237091-528, 78237885-532, 78238895-537, 78239936-542, 78240850-547, 78242286-556, 78243221-561, 78244047-566, 78245027-571, 78245890-576, 78247615-581, 78248541-586, 78249580-591, 78250586-596, 82138141-701, 82138816-706, 82139691-711, 82141045-716, 82141815-721, 82142455-726, 82143491-731, 82144046-736, 82144592-741, 82145151-746, 78231411-501, 78232573-506, 78233445-511, 78234305-515, 78235307-520, 78236386-525, 78237486-530, 78238330-534, 78239330-539, 78240310-544, 78241130-549, 78241825-553, 78242775-558, 78243465-563, 78244450-568, 78245305-573, 78246626-578, 78248020-583, 78248971-588, 78250016-593, 78251010-598, 82138261-702, 82139005-707, 82139865-712, 82141215-717, 82141935-722, 82142977-727, 82143621-732, 82144146-737, 82144691-742, 82145246-747, 82145711-751, 82145871-752, 82146581-756, 78231981-503, 78232967-508, 78234725-517, 78235746-522, 78236935-527, 78238700-536, 78239730-541, 78240650-546, 78241565-551, 78242081-555, 78243010-560, 78243845-565, 78244846-570, 78245646-575, 78247410-580, 78248365-585, 78249420-590, 78250410-595, 78251410-600, 82138386-703, 82139172-708, 82140451-713, 82141370-718, 82142081-723, 82143126-728, 82143736-733, 82144256-738, 82144782-743, 82145366-748, 82145971-753, 82146700-757, 82146806-758, 82147295-762, 82147420-763, 78232411-505, 78233307-510, 78234126-514, 78235166-519, 78236181-524, 78237330-529, 78238125-533, 78239141-538, 78240125-543, 78241010-548, 78241745-552, 78242495-557, 78243340-562, 78244250-567, 78245225-572, 78246090-577, 78247845-582, 78248745-587, 78249805-592, 78250821-597, 78231776-502, 78232742-507, 78233730-512, 78234530-516, 78235540-521, 78236661-526, 78237725-531, 78238495-535, 78239530-540, 78240450-545, 78241365-550, 78241940-554, 78242885-559, 78243610-564, 78244645-569, 78245450-574, 78246821-579, 78248147-584, 78249145-589, 78250210-594, 78251210-599, 82138536-704, 82139331-709, 82140655-714, 82141542-719, 82142217-724, 82143247-729, 82143824-734, 82144372-739, 82144892-744, 82145486-749, 82146086-754, 82146940-759, 82147140-761, 82147515-764, 82147685-766, 82147846-768, 82147920-769, 82148090-771, 82148160-772, 82148290-773, 82148370-774, 82148461-775, 82148565-776, 76273236-1 to 76273236-500, 82138671-705, 82139536-710, 82140860-715, 82141696-720, 82142336-725, 82143376-730, 82143946-735, 82144466-740, 82145017-745, 82145586-750, 82146446-755, 82147050-760, 82147610-765, 82147765-767, 82148001-770, 82148655-777, 82149061-782, 82149465-787, 82150041-792, 82150670-797, 82151525-802, 82152060-807, 82152600-812, 82153182-817, 82153740-822, 82154275-827, 82154790-832, 82155305-837, 82155885-842, 82156365-847, 82156886-852, 82157445-857, 82158105-862, 82158605-867, 82159150-872, 82159750-877, 82160515-882, 82161005-887, 82161494-892, 82162052-897, 82162715-902, 82163326-907, 82163865-912, 82164415-917, 82164954-922, 82165595-927, 82166225-932, 82166790-937, 82167390-942, 82148750-778, 82149150-783, 82149545-788, 82150176-793, 82150816-798, 82151635-803, 82152170-808, 82152715-813, 82153321-818, 82153851-823, 82154356-828, 82154880-833, 82155425-838, 82155986-843, 82156461-848, 82157001-853, 82157561-858, 82158220-863, 82158710-868, 82159240-873, 82159841-878, 82160595-883, 82161096-888, 82161571-893, 82162162-898, 82162836-903, 82163440-908, 82163970-913, 82164505-918, 82165090-923, 82165725-928, 82166352-933, 82166890-938, 82148825-779, 82149227-784, 82149655-789, 82150330-794, 82151007-799, 82151726-804, 82152266-809, 82152820-814, 82153446-819, 82153956-824, 82154445-829, 82154981-834, 82155556-839, 82156077-844, 82156565-849, 82157120-854, 82157721-859, 82158330-864, 82158811-869, 82159430-874, 82160236-879, 82160680-884, 82161200-889, 82161676-894, 82162290-899, 82162945-904, 82163545-909, 82164090-914, 82164605-919, 82165210-924, 82165855-929, 82166465-934, 82167000-939, 82148906-780, 82149306-785, 82149750-790, 82150475-795, 82151195-800, 82151825-805, 82152371-810, 82152970-815, 82153545-820, 82154056-825, 82154570-830, 82155075-835, 82155671-840, 82156175-845, 82156680-850, 82157226-855, 82157855-860, 82158417-865, 82158920-870, 82159516-875, 82160335-880, 82160771-885, 82161305-890, 82161821-895, 82162421-900, 82163091-905, 82163650-910, 82164205-915, 82164705-920, 82165325-925, 82165980-930, 82166576-935, 82167125-940, 82148985-781, 82149386-786, 82149850-791, 82150565-796, 82151430-801, 82151940-806, 82152475-811, 82153076-816, 82153640-821, 82154185-826, 82154690-831, 82155195-836, 82155776-841, 82156260-846, 82156795-851, 82157320-856, 82157990-861, 82158495-866, 82159041-871, 82159641-876, 82160421-881, 82160895-886, 82161396-891, 82161954-896, 82162561-901, 82163211-906, 82163751-911, 82164315-916, 82164820-921, 82165460-926, 82166090-931, 82166671-936, 82167258-941, 82167501-943, 82167630-944, 82167746-945, 82167862-946, 82167976-947, 82168081-948, 82168220-949, 82168361-950, 82168485-951, 82168615-952, 82168750-953, 82169197-954, 82169307-955, 82169412-956, 82169516-957, 82169621-958, 82169731-959, 82169831-960, 82169941-961, 82170051-962, 82170166-963, 82170296-964, 82170397-965, 82170492-966, 82170586-967, 82170692-968, 82171232-973, 82171751-978, 82172266-983, 82172856-988, 82173481-993, 82174222-998, 82170798-969, 82171336-974, 82171846-979, 82172401-984, 82172982-989, 82173641-994, 82174376-999, 82170907-970, 82171432-975, 82171962-980, 82172506-985, 82173117-990, 82173792-995, 82174516-1000, 82171006-971, 82171531-976, 82172070-981, 82172601-986, 82173246-991, 82173926-996, 82171131-972, 82171646-977, 82172171-982, 82172722-987, 82173376-992, 82174066-997, 89496973-1051, 89497070-1052, 89497170-1053, 89497649-1058, 89498079-1063, 89498654-1068, 89499074-1073, 89499505-1078, 89499964-1083, 89500775-1088, 89501250-1093, 89501800-1098, 89502225-1103, 89502680-1108, 89503220-1113, 89503795-1118, 89504230-1123, 89504665-1128, 89505065-1133, 89505545-1138, 89506045-1143, 89506560-1148, 89507055-1153, 89507515-1158, 89507935-1163, 89508355-1168, 89508745-1173, 89509220-1178, 89509695-1183, 89510116-1188, 89510510-1193, 89510925-1198, 89497250-1054, 89497745-1059, 89498164-1064, 89498749-1069, 89499160-1074, 89499594-1079, 89500109-1084, 89500865-1089, 89501371-1094, 89501874-1099, 89502326-1104, 89502755-1109, 89503365-1114, 89503880-1119, 89504310-1124, 89504755-1129, 89505150-1134, 89505645-1139, 89506145-1144, 89506650-1149, 89507130-1154, 89507625-1159, 89508010-1164, 89508435-1169, 89508835-1174, 89509320-1179, 89509770-1184, 89510189-1189, 89510595-1194, 89511020-1199, 89497355-1055, 89497835-1060, 89498250-1065, 89498830-1070, 89499240-1075, 89499680-1080, 89500435-1085, 89500955-1090, 89501485-1095, 89501965-1100, 89502415-1105, 89502835-1110, 89503486-1115, 89503955-1120, 89504395-1125, 89504830-1130, 89505255-1135, 89505730-1140, 89506240-1145, 89506755-1150, 89507244-1155, 89507711-1160, 89508115-1165, 89508515-1170, 89508925-1175, 89509445-1180, 89509845-1185, 89510276-1190, 89510665-1195, 89511115-1200, 89497454-1056, 89497914-1061, 89498369-1066, 89498910-1071, 89499304-1076, 89499780-1081, 89500545-1086, 89501031-1091, 89501610-1096, 89502055-1101, 89502496-1106, 89502940-1111, 89503605-1116, 89504040-1121, 89504490-1126, 89504910-1131, 89505345-1136, 89505844-1141, 89506350-1146, 89506865-1151, 89507330-1156, 89507785-1161, 89508195-1166, 89508600-1171, 89509035-1176, 89509530-1181, 89509930-1186, 89510345-1191, 89510766-1196, 89497554-1057, 89497984-1062, 89498509-1067, 89498994-1072, 89499389-1077, 89499875-1082, 89500665-1087, 89501150-1092, 89501710-1097, 89502140-1102, 89502595-1107, 89503065-1112, 89503705-1117, 89504145-1122, 89504600-1127, 89504995-1132, 89505435-1137, 89505940-1142, 89506450-1147, 89506970-1152, 89507410-1157, 89507865-1162, 89508275-1167, 89508675-1172, 89509130-1177, 89509605-1182, 89510014-1187, 89510425-1192, 89510845-1197, 90414448-1201, 90414550-1202, 90414631-1203, 90414726-1204, 90414825-1205, 90414924-1206, 90415030-1207, 90415110-1208, 90415190-1209, 90415290-1210, 90415396-1211, 90415492-1212, 90415595-1213, 90415690-1214, 90415785-1215, 90416026-1216, 90416110-1217, 90416190-1218, 90416260-1219, 90416331-1220, 90416402-1221, 90416475-1222, 90416560-1223, 90416630-1224, 90416700-1225, 90416771-1226, 90416850-1227, 90416920-1228, 90417000-1229, 90417156-1230, 90417661-1235, 90418060-1240, 90418450-1245, 90418806-1250, 90419180-1255, 90419566-1260, 90419958-1265, 90420315-1270, 90420745-1275, 90421085-1280, 90421475-1285, 90421805-1290, 90422340-1295, 90422740-1300, 90423141-1305, 90423500-1310, 90423865-1315, 90424305-1320, 90424690-1325, 90425239-1330, 90425654-1335, 90426039-1340, 90426490-1345, 90426910-1350, 90427279-1355, 90427754-1360, 90428224-1365, 90429109-1370, 90429789-1375, 90430274-1380, 90430849-1385, 90433809-1390, 90436101-1395, 90437789-1400, 90438311-1405, 90438749-1410, 90439184-1415, 90439662-1420, 90440252-1425, 90440705-1430, 90441135-1435, 90441571-1440, 90441991-1445, 90442390-1450, 90442779-1455, 90443177-1460, 90443579-1465, 90444170-1470, 90444582-1475, 90445069-1480, 90445466-1485, 90445901-1490, 90446290-1495, 90446826-1500, 90417340-1231, 90417745-1236, 90418165-1241, 90418531-1246, 90418890-1251, 90419250-1256, 90419635-1261, 90420045-1266, 90420375-1271, 90420805-1276, 90421170-1281, 90421540-1286, 90421885-1291, 90422415-1296, 90422810-1301, 90423220-1306, 90423570-1311, 90423955-1316, 90424380-1321, 90424930-1326, 90425320-1331, 90425725-1336, 90426130-1341, 90426569-1346, 90426990-1351, 90427379-1356, 90427829-1361, 90428435-1366, 90429189-1371, 90429879-1376, 90430369-1381, 90430940-1386, 90434250-1391, 90436734-1396, 90437925-1401, 90438388-1406, 90438848-1411, 90439264-1416, 90439742-1421, 90440337-1426, 90440784-1431, 90441223-1436, 90441651-1441, 90442072-1446, 90442471-1451, 90442864-1456, 90443258-1461, 90443660-1466, 90444250-1471, 90444700-1476, 90445147-1481, 90445538-1486, 90445978-1491, 90446376-1496, 90417411-1232, 90417818-1237, 90418231-1242, 90418595-1247, 90418962-1252, 90419320-1257, 90419720-1262, 90420115-1267, 90420470-1272, 90420890-1277, 90421245-1282, 90421611-1287, 90421965-1292, 90422500-1297, 90422930-1302, 90423290-1307, 90423640-1312, 90424046-1317, 90424460-1322, 90425015-1327, 90425414-1332, 90425799-1337, 90426239-1342, 90426644-1347, 90427049-1352, 90427464-1357, 90427924-1362, 90428644-1367, 90429249-1372, 90429979-1377, 90430470-1382, 90431809-1387, 90434925-1392, 90437413-1397, 90438007-1402, 90438469-1407, 90438939-1412, 90439344-1417, 90439828-1422, 90440417-1427, 90440864-1432, 90441300-1437, 90441758-1442, 90442141-1447, 90442542-1452, 90442940-1457, 90443330-1462, 90443739-1467, 90444337-1472, 90444776-1477, 90445228-1482, 90445620-1487, 90446058-1492, 90446457-1497, 90417491-1233, 90417890-1238, 90418300-1243, 90418655-1248, 90419025-1253, 90419410-1258, 90419810-1263, 90420180-1268, 90420556-1273, 90420955-1278, 90421305-1283, 90421675-1288, 90422052-1293, 90422585-1298, 90423000-1303, 90423360-1308, 90423710-1313, 90424115-1318, 90424550-1323, 90425107-1328, 90425509-1333, 90425884-1338, 90426309-1343, 90426714-1348, 90427139-1353, 90427564-1358, 90428009-1363, 90428884-1368, 90429539-1373, 90430089-1378, 90430575-1383, 90432929-1388, 90435499-1393, 90437575-1398, 90438099-1403, 90438554-1408, 90439024-1413, 90439426-1418, 90439943-1423, 90440503-1428, 90440970-1433, 90441379-1438, 90441832-1443, 90442222-1448, 90442622-1453, 90443018-1458, 90443419-1463, 90443813-1468, 90444411-1473, 90444856-1478, 90445308-1483, 90445693-1488, 90446134-1493, 90446530-1498, 90417567-1234, 90417965-1239, 90418370-1244, 90418735-1249, 90419110-1254, 90419495-1259, 90419890-1264, 90420250-1269, 90420636-1274, 90421025-1279, 90421390-1284, 90421746-1289, 90422251-1294, 90422670-1299, 90423076-1304, 90423430-1309, 90423790-1314, 90424220-1319, 90424625-1324, 90425175-1329, 90425569-1334, 90425960-1339, 90426399-1344, 90426814-1349, 90427209-1354, 90427660-1359, 90428094-1364, 90429034-1369, 90429689-1374, 90430184-1379, 90430754-1384, 90433375-1389, 90435704-1394, 90437713-1399, 90438201-1404, 90438654-1409, 90439106-1414, 90439529-1419, 90440136-1424, 90440612-1429, 90441055-1434, 90441465-1439, 90441904-1444, 90442305-1449, 90442700-1454, 90443089-1459, 90443492-1464, 90443898-1469, 90444495-1474, 90444971-1479, 90445368-1484, 90445811-1489, 90446220-1494, 90446652-1499, 91589035-1501, 91589086-1502, 91589141-1503, 91589193-1504, 91589245-1505, 91589546-1510, 91589911-1515, 91590241-1520, 91590515-1525, 91590850-1530, 91591176-1535, 91591502-1540, 91591826-1545, 91592131-1550, 91592450-1555, 91592856-1560, 91593186-1565, 91593566-1570, 91593891-1575, 91594185-1580, 91594531-1585, 91594891-1590, 91595191-1595, 91595446-1600, 91595751-1605, 91596110-1610, 91596456-1615, 91596746-1620, 91597101-1625, 91597412-1630, 91597806-1635, 91598156-1640, 91598651-1645, 91599095-1650, 91599446-1655, 91599836-1660, 91600197-1665, 91600586-1670, 91601105-1675, 91601741-1680, 91602351-1685, 91602691-1690, 91602970-1695, 91603286-1700, 91589295-1506, 91589615-1511, 91589977-1516, 91590306-1521, 91590565-1526, 91590916-1531, 91591260-1536, 91591571-1541, 91591905-1546, 91592195-1551, 91592535-1556, 91592922-1561, 91593270-1566, 91593640-1571, 91593946-1576, 91594240-1581, 91594620-1586, 91594961-1591, 91595231-1596, 91595496-1601, 91595826-1606, 91596201-1611, 91596515-1616, 91596815-1621, 91597160-1626, 91597475-1631, 91597866-1636, 91598236-1641, 91598755-1646, 91599170-1651, 91599525-1656, 91599896-1661, 91600260-1666, 91600665-1671, 91601206-1676, 91601946-1681, 91602405-1686, 91602751-1691, 91603020-1696, 91589341-1507, 91589675-1512, 91590041-1517, 91590361-1522, 91590615-1527, 91590970-1532, 91591315-1537, 91591645-1542, 91591961-1547, 91592256-1552, 91592610-1557, 91592990-1562, 91593340-1567, 91593705-1572, 91594000-1577, 91594306-1582, 91594695-1587, 91595016-1592, 91595286-1597, 91595551-1602, 91595906-1607, 91596285-1612, 91596571-1617, 91596880-1622, 91597220-1627, 91597545-1632, 91597930-1637, 91598311-1642, 91598850-1647, 91599255-1652, 91599625-1657, 91599971-1662, 91600326-1667, 91600725-1672, 91601278-1677, 91602115-1682, 91602470-1687, 91602801-1692, 91603080-1697, 91589406-1508, 91589736-1513, 91590111-1518, 91590411-1523, 91590695-1528, 91591045-1533, 91591366-1538, 91591711-1543, 91592010-1548, 91592306-1553, 91592686-1558, 91593052-1563, 91593416-1568, 91593766-1573, 91594066-1578, 91594385-1583, 91594776-1588, 91595096-1593, 91595336-1598, 91595611-1603, 91595966-1608, 91596356-1613, 91596636-1618, 91596940-1623, 91597281-1628, 91597641-1633, 91598001-1638, 91598401-1643, 91598916-1648, 91599316-1653, 91599700-1658, 91600042-1663, 91600405-1668, 91600821-1673, 91601400-1678, 91602201-1683, 91602545-1688, 91602855-1693, 91603146-1698, 91589482-1509, 91589820-1514, 91590175-1519, 91590456-1524, 91590776-1529, 91591130-1534, 91591441-1539, 91591761-1544, 91592071-1549, 91592371-1554, 91592770-1559, 91593125-1564, 91593501-1569, 91593846-1574, 91594125-1579, 91594455-1584, 91594840-1589, 91595146-1594, 91595391-1599, 91595690-1604, 91596040-1609, 91596411-1614, 91596680-1619, 91597025-1624, 91597346-1629, 91597711-1634, 91598076-1639, 91598535-1644, 91599010-1649, 91599375-1654, 91599760-1659, 91600120-1664, 91600490-1669, 91600930-1674, 91601530-1679, 91602281-1684, 91602615-1689, 91602920-1694, 91603220-1699, 01527796-1931, 01527881-1936, 01527908-1941, 01528006-1946, 01528081-1951, 01528121-1956, 01528213-1961, 01528279-1966, 01528370-1971, 01528402-1976, 01528498-1981, 01528564-1986, 01528640-1991, 01528698-1996, 01528772-2000, 01528840-1723, 01528906-1743, 01528976-1748 to 01528976-1749, 01529007-1753, 01529068-1705, 01529149-1709, 01529201-1714, 01529285-1726 to 01529285-1727, 01529335-1731, 01529423-1736, 01529497-1774, 01529536-1779, 01529585-1784, 01529657-1757, 01529727-1761, 01529846-1765, 01529916-1771, 01529985-1792 to 01529985-1793, 01530035-1797, 01530089-1802, 01530169-1807, 01530248-1812, 01530330-1818, 01530394-1823, 01530422-1827, 01530498-1832, 01530557-1837, 01530707-1845, 01530759-1847, 01530818-1853, 01530881-1856, 01530948-1863, 01531031-1867, 01531079-1872, 01531142-1877, 01531201-1882, 01531288-1887, 01531366-1892, 01531396-1895, 01527810-1932, 01527882-1937, 01527950-1942, 01528007-1947, 01528092-1952, 01528151-1957, 01528218-1962, 01528294-1967, 01528381-1972, 01528460-1977, 01528517-1982, 01528604-1987, 01528649-1992, 01528708-1997, 01528774-1718, 01528836-1722, 01528897-1742, 01528934-1746 to 01528934-1747, 01529004-1752, 01529061-1702, 01529142-1708, 01529199-1713, 01529268-1756, 01529332-1730, 01529421-1734, 01529475-1740, 01529518-1776, 01529577-1782, 01529655-1788, 01529724-1760, 01529845-1766, 01529899-1770, 01529970-1791, 01530026-1796, 01530087-1801, 01530159-1806, 01530247-1810 to 01530247-1811, 01530275-1815, 01530342-1821, 01530417-1825, 01530463-1830, 01530538-1835, 01530590-1840, 01530708-1843 to 01530708-1844, 01530797-1849, 01530859-1857, 01530889-1858, 01530967-1860, 01530967-1865, 01531042-1869, 01531118-1874, 01531179-1879, 01531218-1884, 01531303-1889 to 01531303-1890, 01531381-1896, 01531455-1900, 01527818-1933, 01527897-1938, 01527953-1943, 01528035-1948 to 01528035-1949, 01528104-1954, 01528168-1959, 01528235-1964, 01528309-1968 to 01528309-1970, 01528396-1975, 01528489-1980, 01528549-1985, 01528632-1990, 01528689-1995, 01528758-1999, 01528831-1721, 01528855-1725, 01528994-1751, 01529056-1703, 01529133-1707, 01529190-1712, 01529245-1715, 01529245-1755, 01529319-1728, 01529361-1733, 01529435-1737, 01529435-1739, 01529515-1778, 01529575-1783, 01529653-1787, 01529722-1759, 01529831-1764, 01529892-1768, 01529960-1790, 01530008-1795, 01530081-1800, 01530147-1805, 01530320-1816, 01530343-1820, 01530418-1826, 01530488-1831, 01530539-1836, 01530678-1841, 01530718-1846, 01530812-1850, 01530878-1855, 01530944-1862, 01531011-1866, 01531056-1871, 01531136-1876, 01531193-1881, 01531286-1886, 01531306-1891, 01531397-1897, 01531478-1903, 01531568-1908, 01527748-1929, 01527824-1934, 01527905-1939, 01527975-1944, 01528102-1953, 01528159-1958, 01528228-1963, 01528389-1974, 01528467-1978, 01528528-1983, 01528614-1988, 01528681-1994, 01528709-1998, 01528779-1719, 01528847-1724, 01528919-1745, 01528986-1750, 01529052-1701, 01529126-1706, 01529158-1710, 01529329-1729, 01529404-1735, 01529436-1738, 01529507-1775, 01529507-1777, 01529569-1781, 01529606-1785, 01529675-1758, 01529730-1762, 01529855-1767, 01529917-1772, 01530060-1798, 01530097-1803, 01530186-1808, 01530249-1813, 01530323-1817, 01530395-1822, 01530395-1824, 01530459-1828, 01530500-1833, 01530568-1838, 01530796-1848, 01530825-1854, 01530884-1859, 01530966-1864, 01531032-1868, 01531117-1873, 01531144-1878, 01531210-1883, 01531302-1888, 01531369-1893, 01531428-1898, 01527756-1930, 01527834-1935, 01527906-1940, 01527996-1945, 01528046-1950, 01528113-1955, 01528208-1960, 01528247-1965, 01528391-1973, 01528478-1979, 01528536-1984, 01528624-1989, 01528687-1993, 01528757-1717, 01528781-1720, 01528853-1741, 01528917-1744, 01529049-1754, 01529070-1704, 01529151-1711, 01529244-1716, 01529359-1732, 01529571-1780, 01529649-1786, 01529677-1789, 01529824-1763, 01529868-1769, 01529940-1773, 01529995-1794, 01530070-1799, 01530141-1804, 01530187-1809, 01530259-1814, 01530341-1819, 01530461-1829, 01530527-1834, 01530572-1839, 01530709-1842, 01530806-1851, 01530865-1852, 01530940-1861, 01531049-1870, 01531129-1875, 01531190-1880, 01531246-1885, 01531380-1894, 01531437-1899, 01531460-1901, 01531558-1906 to 01531558-1907, 01531646-1912, 01531692-1917, 01531758-1922, 01531825-1927, 01531477-1902, 01531625-1911, 01531684-1916, 01531752-1921, 01531818-1926, 01531523-1904, 01531577-1909, 01531674-1914 to 01531674-1915, 01531741-1919, 01531785-1924, 01531529-1905, 01531595-1910, 01531748-1920, 01531812-1925, 01531657-1913, 01531709-1918, 01531777-1923, 01531834-1928</v>
          </cell>
        </row>
        <row r="6">
          <cell r="E6"/>
          <cell r="F6">
            <v>150</v>
          </cell>
          <cell r="G6">
            <v>10.6</v>
          </cell>
          <cell r="H6">
            <v>1590</v>
          </cell>
          <cell r="I6" t="str">
            <v>DATES</v>
          </cell>
          <cell r="J6" t="str">
            <v>Fard</v>
          </cell>
          <cell r="K6"/>
          <cell r="L6"/>
          <cell r="M6" t="str">
            <v>AL BARAKAH FARD DATES STANDARD C 10KG</v>
          </cell>
          <cell r="N6" t="str">
            <v>CDPL</v>
          </cell>
          <cell r="O6" t="str">
            <v>Rishi</v>
          </cell>
          <cell r="P6" t="str">
            <v>AL BARAKAH DATES FACTORY LLC</v>
          </cell>
          <cell r="Q6"/>
          <cell r="R6">
            <v>0</v>
          </cell>
          <cell r="S6">
            <v>78</v>
          </cell>
          <cell r="T6" t="str">
            <v>61-90 Days</v>
          </cell>
          <cell r="U6">
            <v>150</v>
          </cell>
          <cell r="V6" t="str">
            <v>81467670-601, 81468440-606, 81468785-611, 81469120-616, 81469440-621, 81469831-626, 81470180-631, 81470596-636, 81471050-641, 81471680-646, 81472005-651, 81472355-656, 81472675-661, 81473015-666, 81473380-671, 81473765-676, 81474140-681, 81474455-686, 81474875-691, 81475225-696, 81467816-603, 81468610-608, 81468915-613, 81469265-618, 81469595-623, 81469955-628, 81470330-633, 81470785-638, 81471465-643, 81471800-648, 81472160-653, 81472475-658, 81472788-663, 81473160-668, 81473536-673, 81473925-678, 81474270-683, 81474640-688, 81475000-693, 81475396-698, 81468335-605, 81468715-610, 81469055-615, 81469380-620, 81469750-625, 81470126-630, 81470505-635, 81470975-640, 81471614-645, 81471924-650, 81472294-655, 81472593-660, 81472935-665, 81473295-670, 81473674-675, 81474065-680, 81474390-685, 81474789-690, 81475155-695, 81475560-700, 81467731-602, 81468495-607, 81468845-612, 81469180-617, 81469525-622, 81469895-627, 81470250-632, 81468066-604, 81468660-609, 81468975-614, 81469320-619, 81469650-624, 81470035-629, 81470415-634, 81470880-639, 81471534-644, 81471866-649, 81472224-654, 81472524-659, 81472852-664, 81473224-669, 81473620-674, 81473994-679, 81474329-684, 81474734-689, 81475060-694, 81475484-699, 81470701-637, 81471400-642, 81471739-647, 81472074-652, 81472414-657, 81472729-662, 81473095-667, 81473450-672, 81473843-677, 81474205-682, 81474544-687, 81474940-692, 81475310-697, 88932766-1001, 88932850-1002, 88932925-1003, 88933010-1004, 88933116-1005, 88933224-1006, 88933314-1007, 88933404-1008, 88933479-1009, 88933569-1010, 88933654-1011, 88933730-1012, 88933804-1013, 88933899-1014, 88933995-1015, 88934080-1016, 88934154-1017, 88934269-1018, 88934344-1019, 88934439-1020, 88934575-1021, 88934725-1022, 88934855-1023, 88934979-1024, 88935380-1025, 88935451-1026, 88935541-1027, 88935626-1028, 88935721-1029, 88935826-1030, 88935920-1031, 88936030-1032, 88936139-1033, 88936239-1034, 88936309-1035, 88936384-1036, 88936505-1037, 88936584-1038, 88936665-1039, 88936744-1040, 88936829-1041, 88936925-1042, 88937049-1043, 88937129-1044, 88937204-1045, 88937304-1046, 88937394-1047, 88937479-1048, 88937584-1049, 88937695-1050</v>
          </cell>
        </row>
        <row r="7">
          <cell r="E7"/>
          <cell r="F7">
            <v>310</v>
          </cell>
          <cell r="G7">
            <v>10</v>
          </cell>
          <cell r="H7">
            <v>3100</v>
          </cell>
          <cell r="I7"/>
          <cell r="J7"/>
          <cell r="K7"/>
          <cell r="L7"/>
          <cell r="M7"/>
          <cell r="N7" t="str">
            <v>CDPL</v>
          </cell>
          <cell r="O7" t="str">
            <v>Rishi</v>
          </cell>
          <cell r="P7" t="str">
            <v>AL BARAKAH DATES FACTORY LLC</v>
          </cell>
          <cell r="Q7"/>
          <cell r="R7">
            <v>0</v>
          </cell>
          <cell r="S7">
            <v>78</v>
          </cell>
          <cell r="T7" t="str">
            <v>61-90 Days</v>
          </cell>
          <cell r="U7">
            <v>310</v>
          </cell>
          <cell r="V7" t="str">
            <v>95479612-132, 95478541-53, 95478541-55, 95479655-135, 95479680-134, 95478610-63, 95479739-137, 94590949-2 to 94590949-3, 94591018-4, 94591018-6, 94591018-10, 95478001-20, 95478106-16, 95478106-18, 95478165-12, 95478245-35, 95478280-24, 95478356-28, 95478409-42, 95478462-45 to 95478462-46, 95478519-52, 95478519-54, 95478574-57, 95478640-59, 95478695-67, 95478773-73, 95478848-79 to 95478848-80, 95478899-83, 95478960-88, 95479050-92, 95479139-98, 95479205-103, 95479291-108, 95479291-110, 95479350-114, 95479418-118, 95479418-122, 95479503-124, 95479503-126, 95478681-64 to 95478681-65, 94590948-1, 95478017-21, 95478185-14, 95478258-36, 95478258-38, 95478322-27, 95478392-41, 95478421-44, 95478481-48, 95478750-70, 95478799-75, 95478850-78, 95478926-85, 95478984-89, 95479056-95, 95479150-99, 95479216-104 to 95479216-105, 95479359-115, 95479417-119, 95479417-121, 95479445-120, 95479445-123, 95479600-130, 94590985-5, 94591045-8 to 94591045-9, 95478066-22, 95478116-17, 95478186-32, 95478246-34, 95478315-25 to 95478315-26, 95478359-30, 95478417-43, 95478480-49, 95478590-58, 95478590-61, 95478664-62, 95478720-66, 95478774-72, 95478825-77, 95478880-82, 95478940-87, 95479046-93, 95479136-97, 95479201-102, 95479260-107, 95479348-113, 95479380-117, 95479539-127, 95479615-133, 95478002-11, 95478079-23, 95478164-13, 95478220-33, 95478276-37, 95478328-29, 95478394-39, 95478509-50, 95478560-56, 95478615-60, 95478692-68, 95478772-71, 95478805-76, 95478864-81, 95478933-84, 95479040-91, 95479111-96, 95479169-101, 95479224-106, 95479320-111, 95479376-116, 95479502-125, 95479502-128, 95479608-131, 95479738-136, 94591017-7, 95478078-15, 95478151-19, 95478200-31, 95478393-40, 95478461-47, 95478495-51, 95478739-69, 95478785-74, 95478932-86, 95479025-90, 95479084-94, 95479151-100, 95479292-109, 95479351-112, 95479550-129, 95479755-138 to 95479755-139, 95480160-143, 95480400-151, 95480595-155, 95481072-159, 95481072-161, 95481372-166, 95481576-168 to 95481576-169, 95481702-174, 95481724-181, 95481906-182, 95481906-185, 95482064-189, 95482120-193, 95482299-199, 95482311-203, 95482491-204, 95482962-213, 95483113-219, 95483378-225, 95483505-231, 95483584-234, 95483755-240, 95483978-247, 95484117-253, 95484180-256, 95484330-262, 95484531-268 to 95484531-269, 95484596-274, 95484736-282, 95484819-288, 95484940-290, 95485061-296, 95485081-301, 95485194-303, 95480153-144 to 95480153-145, 95480254-147, 95480415-152, 95480840-156 to 95480840-157, 95481368-165, 95481706-177, 95481908-184, 95482065-190, 95482141-194, 95482141-196, 95482303-200, 95482303-202, 95482484-206, 95482897-212, 95482981-216, 95483122-221, 95483377-222, 95483377-227, 95483504-229, 95483519-233, 95483606-238, 95483776-241 to 95483776-242, 95483987-246, 95484119-250, 95484119-252, 95484119-255, 95484203-261, 95484331-264, 95484331-266 to 95484331-267, 95484530-270, 95484530-275, 95484545-273, 95484598-276, 95484598-279, 95484741-286, 95484825-287, 95484953-295, 95485080-300, 95485192-306, 95485271-309, 95479844-141, 95479930-140, 95480115-142, 95480234-146, 95480386-148 to 95480386-149, 95480401-150, 95480570-153 to 95480570-154, 95480876-158, 95481071-160, 95481172-162, 95481173-163, 95481325-164, 95481383-167, 95481383-170, 95481581-171, 95481581-173, 95481585-176, 95481633-172, 95481704-175, 95481707-179, 95481709-178, 95481907-183, 95481909-180, 95481938-187, 95482072-186, 95482076-191 to 95482076-192, 95482106-188, 95482140-197, 95482156-195, 95482304-201, 95482306-198, 95482482-207, 95482489-205, 95482492-209, 95482517-208, 95482695-210, 95482963-211, 95482966-215, 95482971-214, 95483114-218, 95483118-220, 95483125-217, 95483131-226, 95483379-223, 95483382-230, 95483404-224, 95483508-228, 95483514-232, 95483520-235, 95483595-237, 95483597-236, 95483752-239, 95483773-243, 95483774-244, 95483981-248, 95483989-245, 95483990-249, 95484017-251, 95484120-257, 95484145-254, 95484191-258, 95484192-259, 95484202-260, 95484333-265, 95484355-263, 95484533-272, 95484739-283, 95484824-285, 95484824-289, 95484956-292, 95485078-297, 95485176-304 to 95485176-305, 95485268-310, 95484594-280, 95484735-278, 95484821-284, 95484951-291, 95484951-293, 95485062-299, 95485173-302, 95485195-307, 95484597-271, 95484738-281, 95484764-277, 95484977-294, 95485074-298, 95485266-308</v>
          </cell>
        </row>
        <row r="8">
          <cell r="E8"/>
          <cell r="F8">
            <v>88</v>
          </cell>
          <cell r="G8">
            <v>10.5</v>
          </cell>
          <cell r="H8">
            <v>924</v>
          </cell>
          <cell r="I8"/>
          <cell r="J8"/>
          <cell r="K8"/>
          <cell r="L8"/>
          <cell r="M8"/>
          <cell r="N8" t="str">
            <v>CDPL</v>
          </cell>
          <cell r="O8" t="str">
            <v>Rishi</v>
          </cell>
          <cell r="P8" t="str">
            <v>AL BARAKAH DATES FACTORY LLC</v>
          </cell>
          <cell r="Q8"/>
          <cell r="R8">
            <v>0</v>
          </cell>
          <cell r="S8">
            <v>78</v>
          </cell>
          <cell r="T8" t="str">
            <v>61-90 Days</v>
          </cell>
          <cell r="U8">
            <v>88</v>
          </cell>
          <cell r="V8" t="str">
            <v>95554367-314, 95554369-313, 95554370-311, 95554370-315, 95554371-312, 95554395-316, 95554616-318, 95554627-321, 95554628-317, 95554628-319, 95554629-320, 95554650-322, 95554690-324, 95554691-323, 95554707-325, 95554708-327, 95554709-326, 95554710-328, 95554763-329, 95554763-331 to 95554763-332, 95554764-330, 95554774-333, 95554776-334, 95554819-335, 95554834-336, 95554834-338, 95554834-340, 95554835-337, 95554835-339, 95554879-341, 95554900-342, 95554900-344, 95554901-343, 95554901-345 to 95554901-346, 95554965-347 to 95554965-348, 95554965-350, 95554968-349, 95554969-351, 95554993-352, 95555022-353 to 95555022-354, 95555036-356, 95555037-355, 95555037-357, 95555060-358, 95555105-362, 95555108-360, 95555109-363, 95555110-361, 95555111-359, 95555135-364, 95555186-367, 95555188-366, 95555189-365, 95555189-368 to 95555189-369, 95555215-370, 95555260-371, 95555260-373, 95555260-375, 95555261-372, 95555263-374, 95555272-376, 95555321-379, 95555322-377 to 95555322-378, 95555382-383, 95555382-385, 95555441-389, 95555456-393, 95555523-395 to 95555523-397, 95555338-382, 95555396-386 to 95555396-388, 95555455-392, 95555335-380 to 95555335-381, 95555442-390 to 95555442-391, 95555522-398, 95555381-384, 95555453-394</v>
          </cell>
        </row>
        <row r="9">
          <cell r="E9"/>
          <cell r="F9">
            <v>1</v>
          </cell>
          <cell r="G9">
            <v>5.93</v>
          </cell>
          <cell r="H9">
            <v>5.93</v>
          </cell>
          <cell r="I9" t="str">
            <v>DATES</v>
          </cell>
          <cell r="J9" t="str">
            <v>Kimia</v>
          </cell>
          <cell r="K9"/>
          <cell r="L9"/>
          <cell r="M9" t="str">
            <v>Wet Dates (Mazafati)</v>
          </cell>
          <cell r="N9" t="str">
            <v>CDPL</v>
          </cell>
          <cell r="O9" t="str">
            <v>Rishi</v>
          </cell>
          <cell r="P9" t="str">
            <v>AA IMPEX</v>
          </cell>
          <cell r="Q9"/>
          <cell r="R9">
            <v>0</v>
          </cell>
          <cell r="S9">
            <v>46</v>
          </cell>
          <cell r="T9" t="str">
            <v>31-60 Days</v>
          </cell>
          <cell r="U9">
            <v>1</v>
          </cell>
          <cell r="V9" t="str">
            <v>30957213-3</v>
          </cell>
        </row>
        <row r="10">
          <cell r="E10"/>
          <cell r="F10">
            <v>1</v>
          </cell>
          <cell r="G10">
            <v>5.96</v>
          </cell>
          <cell r="H10">
            <v>5.96</v>
          </cell>
          <cell r="I10" t="str">
            <v>DATES</v>
          </cell>
          <cell r="J10" t="str">
            <v>Kimia</v>
          </cell>
          <cell r="K10"/>
          <cell r="L10"/>
          <cell r="M10" t="str">
            <v>Wet Dates (Mazafati)</v>
          </cell>
          <cell r="N10" t="str">
            <v>CDPL</v>
          </cell>
          <cell r="O10" t="str">
            <v>Rishi</v>
          </cell>
          <cell r="P10" t="str">
            <v>AA IMPEX</v>
          </cell>
          <cell r="Q10"/>
          <cell r="R10">
            <v>0</v>
          </cell>
          <cell r="S10">
            <v>46</v>
          </cell>
          <cell r="T10" t="str">
            <v>31-60 Days</v>
          </cell>
          <cell r="U10">
            <v>1</v>
          </cell>
          <cell r="V10" t="str">
            <v>30922323-2</v>
          </cell>
        </row>
        <row r="11">
          <cell r="E11"/>
          <cell r="F11">
            <v>1</v>
          </cell>
          <cell r="G11">
            <v>6</v>
          </cell>
          <cell r="H11">
            <v>6</v>
          </cell>
          <cell r="I11" t="str">
            <v>DATES</v>
          </cell>
          <cell r="J11" t="str">
            <v>Kimia</v>
          </cell>
          <cell r="K11"/>
          <cell r="L11"/>
          <cell r="M11" t="str">
            <v>Wet Dates (Mazafati)</v>
          </cell>
          <cell r="N11" t="str">
            <v>CDPL</v>
          </cell>
          <cell r="O11" t="str">
            <v>Rishi</v>
          </cell>
          <cell r="P11" t="str">
            <v>AA IMPEX</v>
          </cell>
          <cell r="Q11"/>
          <cell r="R11">
            <v>0</v>
          </cell>
          <cell r="S11">
            <v>46</v>
          </cell>
          <cell r="T11" t="str">
            <v>31-60 Days</v>
          </cell>
          <cell r="U11">
            <v>1</v>
          </cell>
          <cell r="V11" t="str">
            <v>31615115-5</v>
          </cell>
        </row>
        <row r="12">
          <cell r="E12"/>
          <cell r="F12">
            <v>1</v>
          </cell>
          <cell r="G12">
            <v>6.11</v>
          </cell>
          <cell r="H12">
            <v>6.11</v>
          </cell>
          <cell r="I12" t="str">
            <v>DATES</v>
          </cell>
          <cell r="J12" t="str">
            <v>Kimia</v>
          </cell>
          <cell r="K12"/>
          <cell r="L12"/>
          <cell r="M12" t="str">
            <v>Wet Dates (Mazafati)</v>
          </cell>
          <cell r="N12" t="str">
            <v>CDPL</v>
          </cell>
          <cell r="O12" t="str">
            <v>Rishi</v>
          </cell>
          <cell r="P12" t="str">
            <v>AA IMPEX</v>
          </cell>
          <cell r="Q12"/>
          <cell r="R12">
            <v>0</v>
          </cell>
          <cell r="S12">
            <v>46</v>
          </cell>
          <cell r="T12" t="str">
            <v>31-60 Days</v>
          </cell>
          <cell r="U12">
            <v>1</v>
          </cell>
          <cell r="V12" t="str">
            <v>31103339-4</v>
          </cell>
        </row>
        <row r="13">
          <cell r="E13"/>
          <cell r="F13">
            <v>1</v>
          </cell>
          <cell r="G13">
            <v>6.2</v>
          </cell>
          <cell r="H13">
            <v>6.2</v>
          </cell>
          <cell r="I13" t="str">
            <v>DATES</v>
          </cell>
          <cell r="J13" t="str">
            <v>Kimia</v>
          </cell>
          <cell r="K13"/>
          <cell r="L13"/>
          <cell r="M13" t="str">
            <v>Wet Dates (Mazafati)</v>
          </cell>
          <cell r="N13" t="str">
            <v>CDPL</v>
          </cell>
          <cell r="O13" t="str">
            <v>Rishi</v>
          </cell>
          <cell r="P13" t="str">
            <v>AA IMPEX</v>
          </cell>
          <cell r="Q13"/>
          <cell r="R13">
            <v>0</v>
          </cell>
          <cell r="S13">
            <v>46</v>
          </cell>
          <cell r="T13" t="str">
            <v>31-60 Days</v>
          </cell>
          <cell r="U13">
            <v>1</v>
          </cell>
          <cell r="V13" t="str">
            <v>30078137-1</v>
          </cell>
        </row>
        <row r="14">
          <cell r="E14" t="str">
            <v>12164</v>
          </cell>
          <cell r="F14">
            <v>1</v>
          </cell>
          <cell r="G14">
            <v>7.2</v>
          </cell>
          <cell r="H14">
            <v>7.2</v>
          </cell>
          <cell r="I14" t="str">
            <v>DATES</v>
          </cell>
          <cell r="J14" t="str">
            <v>Zahidi</v>
          </cell>
          <cell r="K14"/>
          <cell r="L14"/>
          <cell r="M14" t="str">
            <v>Wet Dates Zahidi</v>
          </cell>
          <cell r="N14" t="str">
            <v>CDPL</v>
          </cell>
          <cell r="O14" t="str">
            <v>Rishi</v>
          </cell>
          <cell r="P14" t="str">
            <v>AA IMPEX</v>
          </cell>
          <cell r="Q14"/>
          <cell r="R14">
            <v>0</v>
          </cell>
          <cell r="S14">
            <v>63</v>
          </cell>
          <cell r="T14" t="str">
            <v>61-90 Days</v>
          </cell>
          <cell r="U14">
            <v>1</v>
          </cell>
          <cell r="V14" t="str">
            <v>67536835-912</v>
          </cell>
        </row>
        <row r="15">
          <cell r="E15" t="str">
            <v>12164</v>
          </cell>
          <cell r="F15">
            <v>1</v>
          </cell>
          <cell r="G15">
            <v>8.1999999999999993</v>
          </cell>
          <cell r="H15">
            <v>8.1999999999999993</v>
          </cell>
          <cell r="I15" t="str">
            <v>DATES</v>
          </cell>
          <cell r="J15" t="str">
            <v>Zahidi</v>
          </cell>
          <cell r="K15"/>
          <cell r="L15"/>
          <cell r="M15" t="str">
            <v>Wet Dates Zahidi</v>
          </cell>
          <cell r="N15" t="str">
            <v>CDPL</v>
          </cell>
          <cell r="O15" t="str">
            <v>Rishi</v>
          </cell>
          <cell r="P15" t="str">
            <v>AA IMPEX</v>
          </cell>
          <cell r="Q15"/>
          <cell r="R15">
            <v>0</v>
          </cell>
          <cell r="S15">
            <v>63</v>
          </cell>
          <cell r="T15" t="str">
            <v>61-90 Days</v>
          </cell>
          <cell r="U15">
            <v>1</v>
          </cell>
          <cell r="V15" t="str">
            <v>59834464-501</v>
          </cell>
        </row>
        <row r="16">
          <cell r="E16" t="str">
            <v>12164</v>
          </cell>
          <cell r="F16">
            <v>1</v>
          </cell>
          <cell r="G16">
            <v>9.6999999999999993</v>
          </cell>
          <cell r="H16">
            <v>9.6999999999999993</v>
          </cell>
          <cell r="I16" t="str">
            <v>DATES</v>
          </cell>
          <cell r="J16" t="str">
            <v>Zahidi</v>
          </cell>
          <cell r="K16"/>
          <cell r="L16"/>
          <cell r="M16" t="str">
            <v>Wet Dates Zahidi</v>
          </cell>
          <cell r="N16" t="str">
            <v>CDPL</v>
          </cell>
          <cell r="O16" t="str">
            <v>Rishi</v>
          </cell>
          <cell r="P16" t="str">
            <v>AA IMPEX</v>
          </cell>
          <cell r="Q16"/>
          <cell r="R16">
            <v>0</v>
          </cell>
          <cell r="S16">
            <v>63</v>
          </cell>
          <cell r="T16" t="str">
            <v>61-90 Days</v>
          </cell>
          <cell r="U16">
            <v>1</v>
          </cell>
          <cell r="V16" t="str">
            <v>67579395-913</v>
          </cell>
        </row>
        <row r="17">
          <cell r="E17" t="str">
            <v>12164</v>
          </cell>
          <cell r="F17">
            <v>108</v>
          </cell>
          <cell r="G17">
            <v>9.9</v>
          </cell>
          <cell r="H17">
            <v>1069.2</v>
          </cell>
          <cell r="I17" t="str">
            <v>DATES</v>
          </cell>
          <cell r="J17" t="str">
            <v>Zahidi</v>
          </cell>
          <cell r="K17"/>
          <cell r="L17"/>
          <cell r="M17" t="str">
            <v>Wet Dates Zahidi</v>
          </cell>
          <cell r="N17" t="str">
            <v>CDPL</v>
          </cell>
          <cell r="O17" t="str">
            <v>Rishi</v>
          </cell>
          <cell r="P17" t="str">
            <v>AA IMPEX</v>
          </cell>
          <cell r="Q17"/>
          <cell r="R17">
            <v>0</v>
          </cell>
          <cell r="S17">
            <v>63</v>
          </cell>
          <cell r="T17" t="str">
            <v>61-90 Days</v>
          </cell>
          <cell r="U17">
            <v>108</v>
          </cell>
          <cell r="V17" t="str">
            <v>60933388-509, 60933449-510, 60933509-511, 60933582-512, 60933659-513, 60933704-514, 60933764-515, 60933821-516, 60933891-517, 60933945-518, 60934013-519, 60934075-520, 60934125-521, 60934175-522, 60934227-523, 60934289-524, 60934365-525, 60934443-526, 60934505-527, 60934567-528, 60934627-529, 60934696-530, 60934764-531, 60934820-532, 60934871-533, 60935165-538, 60935485-543, 60935799-548, 60936115-553, 60936448-558, 60934936-534, 60935224-539, 60935545-544, 60935856-549, 60936174-554, 60934999-535, 60935285-540, 60935611-545, 60935911-550, 60936238-555, 60935053-536, 60935351-541, 60935675-546, 60935976-551, 60936304-556, 60935116-537, 60935413-542, 60935736-547, 60936043-552, 60936376-557, 63627734-865, 63628050-870, 63628381-875, 63628721-880, 63629026-885, 63629364-890, 63629662-895, 63629953-900, 63630245-905, 63630558-910, 67621017-915, 67621415-920, 63627796-866, 63628106-871, 63628446-876, 63628801-881, 63629089-886, 63629422-891, 63629716-896, 63630004-901, 63630299-906, 63630623-911, 67621142-916, 67621490-921, 63627545-862, 63627860-867, 63628184-872, 63628511-877, 63628845-882, 63629161-887, 63629486-892, 63629764-897, 63630053-902, 63630365-907, 67621217-917, 63627618-863, 63627933-868, 63628255-873, 63628573-878, 63628916-883, 63629241-888, 63629557-893, 63629825-898, 63630116-903, 63630437-908, 67621290-918, 63627661-864, 63628001-869, 63628306-874, 63628649-879, 63628973-884, 63629298-889, 63629612-894, 63629884-899, 63630181-904, 63630497-909, 67620968-914, 67621351-919</v>
          </cell>
        </row>
        <row r="18">
          <cell r="E18" t="str">
            <v>12164</v>
          </cell>
          <cell r="F18">
            <v>851</v>
          </cell>
          <cell r="G18">
            <v>10</v>
          </cell>
          <cell r="H18">
            <v>8510</v>
          </cell>
          <cell r="I18" t="str">
            <v>DATES</v>
          </cell>
          <cell r="J18" t="str">
            <v>Zahidi</v>
          </cell>
          <cell r="K18"/>
          <cell r="L18"/>
          <cell r="M18" t="str">
            <v>Wet Dates Zahidi</v>
          </cell>
          <cell r="N18" t="str">
            <v>CDPL</v>
          </cell>
          <cell r="O18" t="str">
            <v>Rishi</v>
          </cell>
          <cell r="P18" t="str">
            <v>AA IMPEX</v>
          </cell>
          <cell r="Q18"/>
          <cell r="R18">
            <v>0</v>
          </cell>
          <cell r="S18">
            <v>63</v>
          </cell>
          <cell r="T18" t="str">
            <v>61-90 Days</v>
          </cell>
          <cell r="U18">
            <v>851</v>
          </cell>
          <cell r="V18" t="str">
            <v>61948833-729, 61948896-730, 61948961-731, 61949020-732, 61949086-733, 61949172-734, 61949225-735, 61949285-736, 61949335-737, 61949385-738, 61949440-739, 61949505-740, 61949560-741, 61949630-742, 61949685-743, 61949766-744, 61949820-745, 61949870-746, 61949925-747, 61949980-748, 61950046-749, 61950110-750, 61950190-751, 61950249-752, 61950324-753, 61950385-754, 58434741-1 to 58434741-500, 61926657-563, 61927583-568, 61929669-573, 61930550-578, 61932086-583, 61932598-588, 61933530-593, 61934546-598, 61935362-603, 61936854-608, 61937494-613, 61938624-618, 61939362-623, 61941259-628, 61942636-633, 61942880-638, 61943120-643, 61943395-648, 61943635-653, 61943871-658, 61944110-663, 61944440-668, 61945057-673, 61945365-678, 61945610-683, 61945920-688, 61946195-693, 61946465-698, 61946717-703, 61947078-708, 61947485-713, 61948211-718, 61948495-723, 61948770-728, 61926878-564, 61927815-569, 61929799-574, 61930858-579, 61932286-584, 61932685-589, 61933837-594, 61934804-599, 61935494-604, 61936995-609, 61937729-614, 61938712-619, 61939666-624, 61941453-629, 61942686-634, 61942931-639, 61943170-644, 61943440-649, 61943680-654, 61943916-659, 61944172-664, 61944505-669, 61945106-674, 61945420-679, 61945675-684, 61945970-689, 61946260-694, 61946516-699, 61946770-704, 61947137-709, 61947550-714, 61948259-719, 61948556-724, 61926166-560, 61927237-565, 61928158-570, 61930055-575, 61931077-580, 61932365-585, 61932774-590, 61934124-595, 61935088-600, 61936005-605, 61937059-610, 61938009-615, 61938792-620, 61939936-625, 61941918-630, 61942730-635, 61942975-640, 61943225-645, 61943481-650, 61943725-655, 61943961-660, 61944220-665, 61944601-670, 61945155-675, 61945460-680, 61945740-685, 61946040-690, 61946320-695, 61946566-700, 61946887-705, 61947190-710, 61947630-715, 61948310-720, 61948610-725, 61926347-561, 61927371-566, 61928480-571, 61930234-576, 61931475-581, 61932452-586, 61933032-591, 61934325-596, 61935192-601, 61936172-606, 61937300-611, 61938327-616, 61938940-621, 61940714-626, 61942337-631, 61942776-636, 61943020-641, 61943280-646, 61943530-651, 61943770-656, 61944011-661, 61944285-666, 61944660-671, 61945214-676, 61945500-681, 61945790-686, 61946095-691, 61946370-696, 61946619-701, 61946945-706, 61947266-711, 61947900-716, 61948365-721, 61948665-726, 61926470-562, 61927488-567, 61928575-572, 61930321-577, 61931681-582, 61932534-587, 61933315-592, 61934418-597, 61935277-602, 61936523-607, 61937377-612, 61938440-617, 61939162-622, 61941002-627, 61942585-632, 61942831-637, 61943070-642, 61943341-647, 61943580-652, 61943820-657, 61944055-662, 61944362-667, 61944715-672, 61945265-677, 61945550-682, 61945855-687, 61946145-692, 61946420-697, 61946666-702, 61947010-707, 61947425-712, 61948142-717, 61948431-722, 61948710-727, 61950436-755, 63365107-765, 63365419-770, 63366550-775, 63366824-780, 63367144-785, 63367489-790, 63367769-795, 63368026-800, 63368305-805, 63368628-810, 63368907-815, 63369201-820, 63369606-825, 63369912-830, 63370197-835, 63370473-840, 63370741-845, 63371010-850, 63371354-855, 63371652-860, 67752011-925, 67752390-930, 67752994-935, 67754135-940, 67755755-945, 67757315-950, 67758330-955, 67759390-960, 67761105-965, 67761511-970, 61950485-756, 63365170-766, 63365476-771, 63366619-776, 63366888-781, 63367210-786, 63367538-791, 63367822-796, 63368094-801, 63368358-806, 63368688-811, 63368977-816, 63369248-821, 63369675-826, 63369968-831, 63370258-836, 63370530-841, 63370800-846, 63371122-851, 63371414-856, 63371716-861, 67752085-926, 67752502-931, 67753195-936, 67754334-941, 67756190-946, 67757550-951, 67758559-956, 67759616-961, 67761175-966, 67761630-971, 61950540-757, 63364917-762, 63365236-767, 63365686-772, 63366676-777, 63366955-782, 63367274-787, 63367594-792, 63367865-797, 63368145-802, 63368424-807, 63368736-812, 63369042-817, 63369306-822, 63369729-827, 63370016-832, 63370322-837, 63370584-842, 63370854-847, 63371177-852, 63371478-857, 67751507-922, 67752146-927, 67752610-932, 67753405-937, 67754616-942, 67756470-947, 67757765-952, 67758775-957, 67760811-962, 67761241-967, 67761731-972, 61950600-758, 63364992-763, 63365293-768, 63365763-773, 63366722-778, 63367008-783, 63367334-788, 63367650-793, 63367920-798, 63368201-803, 63368489-808, 63368784-813, 63369091-818, 63369457-823, 63369797-828, 63370078-833, 63370375-838, 63370632-843, 63370896-848, 63371236-853, 63371539-858, 67751834-923, 67752230-928, 67752695-933, 67753605-938, 67754974-943, 67756742-948, 67758030-953, 67758940-958, 67760915-963, 67761307-968, 61950662-759, 63365045-764, 63365362-769, 63365834-774, 63366774-779, 63367054-784, 63367431-789, 63367705-794, 63367968-799, 63368261-804, 63368552-809, 63368854-814, 63369157-819, 63369526-824, 63369856-829, 63370133-834, 63370417-839, 63370689-844, 63370945-849, 63371306-854, 63371598-859, 67751903-924, 67752305-929, 67752805-934, 67753790-939, 67755345-944, 67757074-949, 67758166-954, 67759149-959, 67761015-964, 67761381-969</v>
          </cell>
        </row>
        <row r="19">
          <cell r="E19" t="str">
            <v>12164</v>
          </cell>
          <cell r="F19">
            <v>3</v>
          </cell>
          <cell r="G19">
            <v>10.1</v>
          </cell>
          <cell r="H19">
            <v>30.3</v>
          </cell>
          <cell r="I19" t="str">
            <v>DATES</v>
          </cell>
          <cell r="J19" t="str">
            <v>Zahidi</v>
          </cell>
          <cell r="K19"/>
          <cell r="L19"/>
          <cell r="M19" t="str">
            <v>Wet Dates Zahidi</v>
          </cell>
          <cell r="N19" t="str">
            <v>CDPL</v>
          </cell>
          <cell r="O19" t="str">
            <v>Rishi</v>
          </cell>
          <cell r="P19" t="str">
            <v>AA IMPEX</v>
          </cell>
          <cell r="Q19"/>
          <cell r="R19">
            <v>0</v>
          </cell>
          <cell r="S19">
            <v>63</v>
          </cell>
          <cell r="T19" t="str">
            <v>61-90 Days</v>
          </cell>
          <cell r="U19">
            <v>3</v>
          </cell>
          <cell r="V19" t="str">
            <v>61361297-559, 62837867-760, 62837925-761</v>
          </cell>
        </row>
        <row r="20">
          <cell r="E20" t="str">
            <v>12164</v>
          </cell>
          <cell r="F20">
            <v>1</v>
          </cell>
          <cell r="G20">
            <v>10.4</v>
          </cell>
          <cell r="H20">
            <v>10.4</v>
          </cell>
          <cell r="I20" t="str">
            <v>DATES</v>
          </cell>
          <cell r="J20" t="str">
            <v>Zahidi</v>
          </cell>
          <cell r="K20"/>
          <cell r="L20"/>
          <cell r="M20" t="str">
            <v>Wet Dates Zahidi</v>
          </cell>
          <cell r="N20" t="str">
            <v>CDPL</v>
          </cell>
          <cell r="O20" t="str">
            <v>Rishi</v>
          </cell>
          <cell r="P20" t="str">
            <v>AA IMPEX</v>
          </cell>
          <cell r="Q20"/>
          <cell r="R20">
            <v>0</v>
          </cell>
          <cell r="S20">
            <v>63</v>
          </cell>
          <cell r="T20" t="str">
            <v>61-90 Days</v>
          </cell>
          <cell r="U20">
            <v>1</v>
          </cell>
          <cell r="V20" t="str">
            <v>59997235-503</v>
          </cell>
        </row>
        <row r="21">
          <cell r="E21" t="str">
            <v>12164</v>
          </cell>
          <cell r="F21">
            <v>4</v>
          </cell>
          <cell r="G21">
            <v>10.7</v>
          </cell>
          <cell r="H21">
            <v>42.8</v>
          </cell>
          <cell r="I21" t="str">
            <v>DATES</v>
          </cell>
          <cell r="J21" t="str">
            <v>Zahidi</v>
          </cell>
          <cell r="K21"/>
          <cell r="L21"/>
          <cell r="M21" t="str">
            <v>Wet Dates Zahidi</v>
          </cell>
          <cell r="N21" t="str">
            <v>CDPL</v>
          </cell>
          <cell r="O21" t="str">
            <v>Rishi</v>
          </cell>
          <cell r="P21" t="str">
            <v>AA IMPEX</v>
          </cell>
          <cell r="Q21"/>
          <cell r="R21">
            <v>0</v>
          </cell>
          <cell r="S21">
            <v>63</v>
          </cell>
          <cell r="T21" t="str">
            <v>61-90 Days</v>
          </cell>
          <cell r="U21">
            <v>4</v>
          </cell>
          <cell r="V21" t="str">
            <v>60397096-505, 60534745-506, 60534815-507, 60775501-508</v>
          </cell>
        </row>
        <row r="22">
          <cell r="E22" t="str">
            <v>12164</v>
          </cell>
          <cell r="F22">
            <v>1</v>
          </cell>
          <cell r="G22">
            <v>10.8</v>
          </cell>
          <cell r="H22">
            <v>10.8</v>
          </cell>
          <cell r="I22" t="str">
            <v>DATES</v>
          </cell>
          <cell r="J22" t="str">
            <v>Zahidi</v>
          </cell>
          <cell r="K22"/>
          <cell r="L22"/>
          <cell r="M22" t="str">
            <v>Wet Dates Zahidi</v>
          </cell>
          <cell r="N22" t="str">
            <v>CDPL</v>
          </cell>
          <cell r="O22" t="str">
            <v>Rishi</v>
          </cell>
          <cell r="P22" t="str">
            <v>AA IMPEX</v>
          </cell>
          <cell r="Q22"/>
          <cell r="R22">
            <v>0</v>
          </cell>
          <cell r="S22">
            <v>63</v>
          </cell>
          <cell r="T22" t="str">
            <v>61-90 Days</v>
          </cell>
          <cell r="U22">
            <v>1</v>
          </cell>
          <cell r="V22" t="str">
            <v>59946488-502</v>
          </cell>
        </row>
        <row r="23">
          <cell r="E23" t="str">
            <v>12164</v>
          </cell>
          <cell r="F23">
            <v>1</v>
          </cell>
          <cell r="G23">
            <v>10.9</v>
          </cell>
          <cell r="H23">
            <v>10.9</v>
          </cell>
          <cell r="I23" t="str">
            <v>DATES</v>
          </cell>
          <cell r="J23" t="str">
            <v>Zahidi</v>
          </cell>
          <cell r="K23"/>
          <cell r="L23"/>
          <cell r="M23" t="str">
            <v>Wet Dates Zahidi</v>
          </cell>
          <cell r="N23" t="str">
            <v>CDPL</v>
          </cell>
          <cell r="O23" t="str">
            <v>Rishi</v>
          </cell>
          <cell r="P23" t="str">
            <v>AA IMPEX</v>
          </cell>
          <cell r="Q23"/>
          <cell r="R23">
            <v>0</v>
          </cell>
          <cell r="S23">
            <v>63</v>
          </cell>
          <cell r="T23" t="str">
            <v>61-90 Days</v>
          </cell>
          <cell r="U23">
            <v>1</v>
          </cell>
          <cell r="V23" t="str">
            <v>60157426-504</v>
          </cell>
        </row>
        <row r="24">
          <cell r="E24" t="str">
            <v>105768</v>
          </cell>
          <cell r="F24">
            <v>5</v>
          </cell>
          <cell r="G24">
            <v>20</v>
          </cell>
          <cell r="H24">
            <v>100</v>
          </cell>
          <cell r="I24" t="str">
            <v>DATES</v>
          </cell>
          <cell r="J24" t="str">
            <v>Safavi</v>
          </cell>
          <cell r="K24" t="str">
            <v>Safawi</v>
          </cell>
          <cell r="L24" t="str">
            <v>Safawi</v>
          </cell>
          <cell r="M24" t="str">
            <v>Wet Dates Safavi</v>
          </cell>
          <cell r="N24" t="str">
            <v>CDPL</v>
          </cell>
          <cell r="O24" t="str">
            <v>Rishi</v>
          </cell>
          <cell r="P24" t="str">
            <v>Local</v>
          </cell>
          <cell r="Q24">
            <v>550</v>
          </cell>
          <cell r="R24">
            <v>55000</v>
          </cell>
          <cell r="S24">
            <v>866</v>
          </cell>
          <cell r="T24" t="str">
            <v>&gt;730 Days</v>
          </cell>
          <cell r="U24">
            <v>5</v>
          </cell>
          <cell r="V24" t="str">
            <v>90565000-31 to 90565000-35</v>
          </cell>
        </row>
        <row r="25">
          <cell r="E25" t="str">
            <v>107268</v>
          </cell>
          <cell r="F25">
            <v>49</v>
          </cell>
          <cell r="G25">
            <v>12</v>
          </cell>
          <cell r="H25">
            <v>588</v>
          </cell>
          <cell r="I25" t="str">
            <v>DATES</v>
          </cell>
          <cell r="J25" t="str">
            <v>Dry Dates</v>
          </cell>
          <cell r="K25" t="str">
            <v>KHAREK</v>
          </cell>
          <cell r="L25" t="str">
            <v>Local</v>
          </cell>
          <cell r="M25" t="str">
            <v>Kharik</v>
          </cell>
          <cell r="N25" t="str">
            <v>CDPL</v>
          </cell>
          <cell r="O25" t="str">
            <v>Rishi</v>
          </cell>
          <cell r="P25" t="str">
            <v>Local</v>
          </cell>
          <cell r="Q25">
            <v>250</v>
          </cell>
          <cell r="R25">
            <v>147000</v>
          </cell>
          <cell r="S25">
            <v>794</v>
          </cell>
          <cell r="T25" t="str">
            <v>&gt;730 Days</v>
          </cell>
          <cell r="U25">
            <v>49</v>
          </cell>
          <cell r="V25" t="str">
            <v>90566000-1 to 90566000-49</v>
          </cell>
        </row>
        <row r="26">
          <cell r="E26" t="str">
            <v>115342</v>
          </cell>
          <cell r="F26">
            <v>6</v>
          </cell>
          <cell r="G26">
            <v>20</v>
          </cell>
          <cell r="H26">
            <v>120</v>
          </cell>
          <cell r="I26" t="str">
            <v>DATES</v>
          </cell>
          <cell r="J26" t="str">
            <v>Safavi</v>
          </cell>
          <cell r="K26" t="str">
            <v>Safawi</v>
          </cell>
          <cell r="L26" t="str">
            <v>Safawi</v>
          </cell>
          <cell r="M26" t="str">
            <v>Wet Dates Safavi</v>
          </cell>
          <cell r="N26" t="str">
            <v>CDPL</v>
          </cell>
          <cell r="O26" t="str">
            <v>Rishi</v>
          </cell>
          <cell r="P26" t="str">
            <v>Local</v>
          </cell>
          <cell r="Q26">
            <v>550</v>
          </cell>
          <cell r="R26">
            <v>66000</v>
          </cell>
          <cell r="S26">
            <v>482</v>
          </cell>
          <cell r="T26" t="str">
            <v>366-730 Days</v>
          </cell>
          <cell r="U26">
            <v>6</v>
          </cell>
          <cell r="V26" t="str">
            <v>90572000-21 to 90572000-26</v>
          </cell>
        </row>
        <row r="27">
          <cell r="E27" t="str">
            <v>117122</v>
          </cell>
          <cell r="F27">
            <v>34</v>
          </cell>
          <cell r="G27">
            <v>10</v>
          </cell>
          <cell r="H27">
            <v>340</v>
          </cell>
          <cell r="I27" t="str">
            <v>DATES</v>
          </cell>
          <cell r="J27" t="str">
            <v>Khalas</v>
          </cell>
          <cell r="K27" t="str">
            <v>Khalas</v>
          </cell>
          <cell r="L27" t="str">
            <v>Premium</v>
          </cell>
          <cell r="M27" t="str">
            <v>AL BARAKAH KHALAS PREMIUM DATES</v>
          </cell>
          <cell r="N27" t="str">
            <v>CDPL</v>
          </cell>
          <cell r="O27" t="str">
            <v>Rishi</v>
          </cell>
          <cell r="P27" t="str">
            <v>AL BARAKAH</v>
          </cell>
          <cell r="Q27">
            <v>116</v>
          </cell>
          <cell r="R27">
            <v>39440</v>
          </cell>
          <cell r="S27">
            <v>404</v>
          </cell>
          <cell r="T27" t="str">
            <v>366-730 Days</v>
          </cell>
          <cell r="U27">
            <v>34</v>
          </cell>
          <cell r="V27" t="str">
            <v>90582000-1 to 90582000-34</v>
          </cell>
        </row>
        <row r="28">
          <cell r="E28" t="str">
            <v>117411</v>
          </cell>
          <cell r="F28">
            <v>541</v>
          </cell>
          <cell r="G28">
            <v>0</v>
          </cell>
          <cell r="H28">
            <v>0</v>
          </cell>
          <cell r="I28" t="str">
            <v>DATES</v>
          </cell>
          <cell r="J28" t="str">
            <v>Fard</v>
          </cell>
          <cell r="K28" t="str">
            <v>Fard-Prem</v>
          </cell>
          <cell r="L28" t="str">
            <v>Premium</v>
          </cell>
          <cell r="M28" t="str">
            <v>Al Barakah Fard Dates Premium</v>
          </cell>
          <cell r="N28" t="str">
            <v>CDPL</v>
          </cell>
          <cell r="O28" t="str">
            <v>Rishi</v>
          </cell>
          <cell r="P28" t="str">
            <v>AL BARAKAH</v>
          </cell>
          <cell r="Q28">
            <v>233</v>
          </cell>
          <cell r="R28">
            <v>0</v>
          </cell>
          <cell r="S28">
            <v>392</v>
          </cell>
          <cell r="T28" t="str">
            <v>366-730 Days</v>
          </cell>
          <cell r="U28">
            <v>541</v>
          </cell>
          <cell r="V28" t="str">
            <v>90584000-53 to 90584000-593</v>
          </cell>
        </row>
        <row r="29">
          <cell r="E29" t="str">
            <v>117413</v>
          </cell>
          <cell r="F29">
            <v>133</v>
          </cell>
          <cell r="G29">
            <v>10</v>
          </cell>
          <cell r="H29">
            <v>1330</v>
          </cell>
          <cell r="I29" t="str">
            <v>DATES</v>
          </cell>
          <cell r="J29" t="str">
            <v>Fard</v>
          </cell>
          <cell r="K29" t="str">
            <v>Fard-Prem</v>
          </cell>
          <cell r="L29" t="str">
            <v>Premium</v>
          </cell>
          <cell r="M29" t="str">
            <v>Al Barakah Fard Dates Premium</v>
          </cell>
          <cell r="N29" t="str">
            <v>CDPL</v>
          </cell>
          <cell r="O29" t="str">
            <v>Rishi</v>
          </cell>
          <cell r="P29" t="str">
            <v>AL BARAKAH</v>
          </cell>
          <cell r="Q29">
            <v>233</v>
          </cell>
          <cell r="R29">
            <v>309890</v>
          </cell>
          <cell r="S29">
            <v>391</v>
          </cell>
          <cell r="T29" t="str">
            <v>366-730 Days</v>
          </cell>
          <cell r="U29">
            <v>133</v>
          </cell>
          <cell r="V29" t="str">
            <v>90585000-2 to 90585000-134</v>
          </cell>
        </row>
        <row r="30">
          <cell r="E30" t="str">
            <v>117833</v>
          </cell>
          <cell r="F30">
            <v>37</v>
          </cell>
          <cell r="G30">
            <v>10</v>
          </cell>
          <cell r="H30">
            <v>370</v>
          </cell>
          <cell r="I30" t="str">
            <v>DATES</v>
          </cell>
          <cell r="J30" t="str">
            <v>Dry Dates</v>
          </cell>
          <cell r="K30" t="str">
            <v>KHAREK</v>
          </cell>
          <cell r="L30" t="str">
            <v>Dry Dates</v>
          </cell>
          <cell r="M30" t="str">
            <v>DRY DATES-GRADE 2</v>
          </cell>
          <cell r="N30" t="str">
            <v>CDPL</v>
          </cell>
          <cell r="O30" t="str">
            <v>Rishi</v>
          </cell>
          <cell r="P30" t="str">
            <v>NAKHEEL</v>
          </cell>
          <cell r="Q30">
            <v>241</v>
          </cell>
          <cell r="R30">
            <v>89170</v>
          </cell>
          <cell r="S30">
            <v>376</v>
          </cell>
          <cell r="T30" t="str">
            <v>366-730 Days</v>
          </cell>
          <cell r="U30">
            <v>37</v>
          </cell>
          <cell r="V30" t="str">
            <v>90587000-1 to 90587000-37</v>
          </cell>
        </row>
        <row r="31">
          <cell r="E31" t="str">
            <v>119224</v>
          </cell>
          <cell r="F31">
            <v>1098</v>
          </cell>
          <cell r="G31">
            <v>5</v>
          </cell>
          <cell r="H31">
            <v>5490</v>
          </cell>
          <cell r="I31" t="str">
            <v>DATES</v>
          </cell>
          <cell r="J31" t="str">
            <v>Khaneizi</v>
          </cell>
          <cell r="K31" t="str">
            <v>Khaneizi</v>
          </cell>
          <cell r="L31" t="str">
            <v>Khaneizi</v>
          </cell>
          <cell r="M31" t="str">
            <v>Wet Dates Khaneizi</v>
          </cell>
          <cell r="N31" t="str">
            <v>CDPL</v>
          </cell>
          <cell r="O31" t="str">
            <v>Rishi</v>
          </cell>
          <cell r="P31" t="str">
            <v>Local</v>
          </cell>
          <cell r="Q31">
            <v>198</v>
          </cell>
          <cell r="R31">
            <v>1087020</v>
          </cell>
          <cell r="S31">
            <v>321</v>
          </cell>
          <cell r="T31" t="str">
            <v>181-365 Days</v>
          </cell>
          <cell r="U31">
            <v>1098</v>
          </cell>
          <cell r="V31" t="str">
            <v>90593000-106 to 90593000-1203</v>
          </cell>
        </row>
        <row r="32">
          <cell r="E32" t="str">
            <v>119639</v>
          </cell>
          <cell r="F32">
            <v>368</v>
          </cell>
          <cell r="G32">
            <v>5</v>
          </cell>
          <cell r="H32">
            <v>1840</v>
          </cell>
          <cell r="I32" t="str">
            <v>DATES</v>
          </cell>
          <cell r="J32" t="str">
            <v>Kimia</v>
          </cell>
          <cell r="K32" t="str">
            <v>Mazafati</v>
          </cell>
          <cell r="L32" t="str">
            <v>Mazafati</v>
          </cell>
          <cell r="M32" t="str">
            <v>Wet Dates (Mazafati)</v>
          </cell>
          <cell r="N32" t="str">
            <v>CDPL</v>
          </cell>
          <cell r="O32" t="str">
            <v>Rishi</v>
          </cell>
          <cell r="P32" t="str">
            <v>Local</v>
          </cell>
          <cell r="Q32">
            <v>240</v>
          </cell>
          <cell r="R32">
            <v>441600</v>
          </cell>
          <cell r="S32">
            <v>305</v>
          </cell>
          <cell r="T32" t="str">
            <v>181-365 Days</v>
          </cell>
          <cell r="U32">
            <v>368</v>
          </cell>
          <cell r="V32" t="str">
            <v>90595000-1 to 90595000-368</v>
          </cell>
        </row>
        <row r="33">
          <cell r="E33" t="str">
            <v>119869</v>
          </cell>
          <cell r="F33">
            <v>43</v>
          </cell>
          <cell r="G33">
            <v>10.116</v>
          </cell>
          <cell r="H33">
            <v>435.16</v>
          </cell>
          <cell r="I33" t="str">
            <v>DATES</v>
          </cell>
          <cell r="J33" t="str">
            <v>Seedless</v>
          </cell>
          <cell r="K33" t="str">
            <v>Khalas-Seedless</v>
          </cell>
          <cell r="L33" t="str">
            <v>Seedless</v>
          </cell>
          <cell r="M33" t="str">
            <v>Wet Dates Seedless Khalas</v>
          </cell>
          <cell r="N33" t="str">
            <v>CDPL</v>
          </cell>
          <cell r="O33" t="str">
            <v>Rishi</v>
          </cell>
          <cell r="P33" t="str">
            <v>AL BARAKAH</v>
          </cell>
          <cell r="Q33">
            <v>126</v>
          </cell>
          <cell r="R33">
            <v>54809.95</v>
          </cell>
          <cell r="S33">
            <v>296</v>
          </cell>
          <cell r="T33" t="str">
            <v>181-365 Days</v>
          </cell>
          <cell r="U33">
            <v>43</v>
          </cell>
          <cell r="V33" t="str">
            <v>90596000-1 to 90596000-43</v>
          </cell>
        </row>
        <row r="34">
          <cell r="E34" t="str">
            <v>120372</v>
          </cell>
          <cell r="F34">
            <v>25</v>
          </cell>
          <cell r="G34">
            <v>5</v>
          </cell>
          <cell r="H34">
            <v>125</v>
          </cell>
          <cell r="I34" t="str">
            <v>DATES</v>
          </cell>
          <cell r="J34" t="str">
            <v>Kimia</v>
          </cell>
          <cell r="K34" t="str">
            <v>Mazafati</v>
          </cell>
          <cell r="L34" t="str">
            <v>Mazafati</v>
          </cell>
          <cell r="M34" t="str">
            <v>Wet Dates (Mazafati)</v>
          </cell>
          <cell r="N34" t="str">
            <v>CDPL</v>
          </cell>
          <cell r="O34" t="str">
            <v>Rishi</v>
          </cell>
          <cell r="P34" t="str">
            <v>Local</v>
          </cell>
          <cell r="Q34">
            <v>240</v>
          </cell>
          <cell r="R34">
            <v>30000</v>
          </cell>
          <cell r="S34">
            <v>274</v>
          </cell>
          <cell r="T34" t="str">
            <v>181-365 Days</v>
          </cell>
          <cell r="U34">
            <v>25</v>
          </cell>
          <cell r="V34" t="str">
            <v>90597000-1 to 90597000-25</v>
          </cell>
        </row>
        <row r="35">
          <cell r="E35" t="str">
            <v>121432</v>
          </cell>
          <cell r="F35">
            <v>749</v>
          </cell>
          <cell r="G35">
            <v>10</v>
          </cell>
          <cell r="H35">
            <v>7490</v>
          </cell>
          <cell r="I35" t="str">
            <v>DATES</v>
          </cell>
          <cell r="J35" t="str">
            <v>Khalas</v>
          </cell>
          <cell r="K35" t="str">
            <v>Khalas-RTV-AATIMPEX</v>
          </cell>
          <cell r="L35" t="str">
            <v>RTV</v>
          </cell>
          <cell r="M35" t="str">
            <v>AL BARAKAH KHALAS PREMIUM DATES</v>
          </cell>
          <cell r="N35" t="str">
            <v>CDPL</v>
          </cell>
          <cell r="O35" t="str">
            <v>Rishi</v>
          </cell>
          <cell r="P35" t="str">
            <v>AL BARAKAH</v>
          </cell>
          <cell r="Q35">
            <v>116</v>
          </cell>
          <cell r="R35">
            <v>868840</v>
          </cell>
          <cell r="S35">
            <v>230</v>
          </cell>
          <cell r="T35" t="str">
            <v>181-365 Days</v>
          </cell>
          <cell r="U35">
            <v>749</v>
          </cell>
          <cell r="V35" t="str">
            <v>90600000-1 to 90600000-749</v>
          </cell>
        </row>
        <row r="36">
          <cell r="E36" t="str">
            <v>122755</v>
          </cell>
          <cell r="F36">
            <v>131</v>
          </cell>
          <cell r="G36">
            <v>5</v>
          </cell>
          <cell r="H36">
            <v>655</v>
          </cell>
          <cell r="I36" t="str">
            <v>DATES</v>
          </cell>
          <cell r="J36" t="str">
            <v>Safavi</v>
          </cell>
          <cell r="K36" t="str">
            <v>Safawi</v>
          </cell>
          <cell r="L36" t="str">
            <v>Safawi</v>
          </cell>
          <cell r="M36" t="str">
            <v>Wet Dates Safavi</v>
          </cell>
          <cell r="N36" t="str">
            <v>CDPL</v>
          </cell>
          <cell r="O36" t="str">
            <v>Rishi</v>
          </cell>
          <cell r="P36" t="str">
            <v>Local</v>
          </cell>
          <cell r="Q36">
            <v>550</v>
          </cell>
          <cell r="R36">
            <v>360250</v>
          </cell>
          <cell r="S36">
            <v>181</v>
          </cell>
          <cell r="T36" t="str">
            <v>181-365 Days</v>
          </cell>
          <cell r="U36">
            <v>131</v>
          </cell>
          <cell r="V36" t="str">
            <v>90599000-51 to 90599000-181</v>
          </cell>
        </row>
        <row r="37">
          <cell r="E37" t="str">
            <v>122909</v>
          </cell>
          <cell r="F37">
            <v>379</v>
          </cell>
          <cell r="G37">
            <v>5</v>
          </cell>
          <cell r="H37">
            <v>1895</v>
          </cell>
          <cell r="I37" t="str">
            <v>DATES</v>
          </cell>
          <cell r="J37" t="str">
            <v>Sayer</v>
          </cell>
          <cell r="K37" t="str">
            <v>Sayer-5Kg</v>
          </cell>
          <cell r="L37" t="str">
            <v>5Kg</v>
          </cell>
          <cell r="M37" t="str">
            <v>Wet Date Sayer ( Unpitted )</v>
          </cell>
          <cell r="N37" t="str">
            <v>CDPL</v>
          </cell>
          <cell r="O37" t="str">
            <v>Rishi</v>
          </cell>
          <cell r="P37" t="str">
            <v>Local</v>
          </cell>
          <cell r="Q37">
            <v>105</v>
          </cell>
          <cell r="R37">
            <v>198975</v>
          </cell>
          <cell r="S37">
            <v>177</v>
          </cell>
          <cell r="T37" t="str">
            <v>91-180 Days</v>
          </cell>
          <cell r="U37">
            <v>379</v>
          </cell>
          <cell r="V37" t="str">
            <v>90607000-1 to 90607000-379</v>
          </cell>
        </row>
        <row r="38">
          <cell r="E38" t="str">
            <v>123249</v>
          </cell>
          <cell r="F38">
            <v>119</v>
          </cell>
          <cell r="G38">
            <v>10</v>
          </cell>
          <cell r="H38">
            <v>1190</v>
          </cell>
          <cell r="I38" t="str">
            <v>DATES</v>
          </cell>
          <cell r="J38" t="str">
            <v>Seedless</v>
          </cell>
          <cell r="K38" t="str">
            <v>Khalas-Seedless</v>
          </cell>
          <cell r="L38" t="str">
            <v>Seedless</v>
          </cell>
          <cell r="M38" t="str">
            <v>Wet Dates Seedless Khalas</v>
          </cell>
          <cell r="N38" t="str">
            <v>CDPL</v>
          </cell>
          <cell r="O38" t="str">
            <v>Rishi</v>
          </cell>
          <cell r="P38" t="str">
            <v>AL BARAKAH</v>
          </cell>
          <cell r="Q38">
            <v>126</v>
          </cell>
          <cell r="R38">
            <v>149940</v>
          </cell>
          <cell r="S38">
            <v>167</v>
          </cell>
          <cell r="T38" t="str">
            <v>91-180 Days</v>
          </cell>
          <cell r="U38">
            <v>119</v>
          </cell>
          <cell r="V38" t="str">
            <v>90609000-1 to 90609000-119</v>
          </cell>
        </row>
        <row r="39">
          <cell r="E39" t="str">
            <v>123292</v>
          </cell>
          <cell r="F39">
            <v>142</v>
          </cell>
          <cell r="G39">
            <v>6.8</v>
          </cell>
          <cell r="H39">
            <v>965.6</v>
          </cell>
          <cell r="I39" t="str">
            <v>DATES</v>
          </cell>
          <cell r="J39" t="str">
            <v>Kimia</v>
          </cell>
          <cell r="K39" t="str">
            <v>Mazafati</v>
          </cell>
          <cell r="L39" t="str">
            <v>Excess Mat</v>
          </cell>
          <cell r="M39" t="str">
            <v>Wet Dates (Mazafati)</v>
          </cell>
          <cell r="N39" t="str">
            <v>CDPL</v>
          </cell>
          <cell r="O39" t="str">
            <v>Rishi</v>
          </cell>
          <cell r="P39" t="str">
            <v>Local</v>
          </cell>
          <cell r="Q39">
            <v>198</v>
          </cell>
          <cell r="R39">
            <v>191188.8</v>
          </cell>
          <cell r="S39">
            <v>166</v>
          </cell>
          <cell r="T39" t="str">
            <v>91-180 Days</v>
          </cell>
          <cell r="U39">
            <v>142</v>
          </cell>
          <cell r="V39" t="str">
            <v>90610000-1 to 90610000-142</v>
          </cell>
        </row>
        <row r="40">
          <cell r="E40" t="str">
            <v>123294</v>
          </cell>
          <cell r="F40">
            <v>28</v>
          </cell>
          <cell r="G40">
            <v>5</v>
          </cell>
          <cell r="H40">
            <v>140</v>
          </cell>
          <cell r="I40" t="str">
            <v>DATES</v>
          </cell>
          <cell r="J40" t="str">
            <v>Ajwa</v>
          </cell>
          <cell r="K40" t="str">
            <v>Ajwa</v>
          </cell>
          <cell r="L40" t="str">
            <v>Premium</v>
          </cell>
          <cell r="M40" t="str">
            <v>Wet Dates Ajwa</v>
          </cell>
          <cell r="N40" t="str">
            <v>CDPL</v>
          </cell>
          <cell r="O40" t="str">
            <v>Rishi</v>
          </cell>
          <cell r="P40" t="str">
            <v>Local</v>
          </cell>
          <cell r="Q40">
            <v>675</v>
          </cell>
          <cell r="R40">
            <v>94500</v>
          </cell>
          <cell r="S40">
            <v>166</v>
          </cell>
          <cell r="T40" t="str">
            <v>91-180 Days</v>
          </cell>
          <cell r="U40">
            <v>28</v>
          </cell>
          <cell r="V40" t="str">
            <v>90612000-1 to 90612000-28</v>
          </cell>
        </row>
        <row r="41">
          <cell r="E41" t="str">
            <v>123295</v>
          </cell>
          <cell r="F41">
            <v>2</v>
          </cell>
          <cell r="G41">
            <v>15</v>
          </cell>
          <cell r="H41">
            <v>30</v>
          </cell>
          <cell r="I41" t="str">
            <v>DATES</v>
          </cell>
          <cell r="J41" t="str">
            <v>Mabroom</v>
          </cell>
          <cell r="K41" t="str">
            <v>Mabroom</v>
          </cell>
          <cell r="L41" t="str">
            <v>Mabroom</v>
          </cell>
          <cell r="M41" t="str">
            <v>Wet Dates (Mabroom)</v>
          </cell>
          <cell r="N41" t="str">
            <v>CDPL</v>
          </cell>
          <cell r="O41" t="str">
            <v>Rishi</v>
          </cell>
          <cell r="P41" t="str">
            <v>Local</v>
          </cell>
          <cell r="Q41">
            <v>990</v>
          </cell>
          <cell r="R41">
            <v>29700</v>
          </cell>
          <cell r="S41">
            <v>166</v>
          </cell>
          <cell r="T41" t="str">
            <v>91-180 Days</v>
          </cell>
          <cell r="U41">
            <v>2</v>
          </cell>
          <cell r="V41" t="str">
            <v>90613000-1 to 90613000-2</v>
          </cell>
        </row>
        <row r="42">
          <cell r="E42" t="str">
            <v>123296</v>
          </cell>
          <cell r="F42">
            <v>3</v>
          </cell>
          <cell r="G42">
            <v>5</v>
          </cell>
          <cell r="H42">
            <v>15</v>
          </cell>
          <cell r="I42" t="str">
            <v>DATES</v>
          </cell>
          <cell r="J42" t="str">
            <v>Sayer</v>
          </cell>
          <cell r="K42" t="str">
            <v>Sayer-5Kg</v>
          </cell>
          <cell r="L42" t="str">
            <v>5Kg</v>
          </cell>
          <cell r="M42" t="str">
            <v>Wet Date Sayer ( Unpitted )</v>
          </cell>
          <cell r="N42" t="str">
            <v>CDPL</v>
          </cell>
          <cell r="O42" t="str">
            <v>Rishi</v>
          </cell>
          <cell r="P42" t="str">
            <v>Local</v>
          </cell>
          <cell r="Q42">
            <v>105</v>
          </cell>
          <cell r="R42">
            <v>1575</v>
          </cell>
          <cell r="S42">
            <v>166</v>
          </cell>
          <cell r="T42" t="str">
            <v>91-180 Days</v>
          </cell>
          <cell r="U42">
            <v>3</v>
          </cell>
          <cell r="V42" t="str">
            <v>90614000-1 to 90614000-3</v>
          </cell>
        </row>
        <row r="43">
          <cell r="E43" t="str">
            <v>123327</v>
          </cell>
          <cell r="F43">
            <v>109</v>
          </cell>
          <cell r="G43">
            <v>10</v>
          </cell>
          <cell r="H43">
            <v>1090</v>
          </cell>
          <cell r="I43" t="str">
            <v>DATES</v>
          </cell>
          <cell r="J43" t="str">
            <v>Fard</v>
          </cell>
          <cell r="K43" t="str">
            <v>Fard-Seedless</v>
          </cell>
          <cell r="L43" t="str">
            <v>Seedless</v>
          </cell>
          <cell r="M43" t="str">
            <v>Al Barakah Fard Dates Seedless</v>
          </cell>
          <cell r="N43" t="str">
            <v>CDPL</v>
          </cell>
          <cell r="O43" t="str">
            <v>Rishi</v>
          </cell>
          <cell r="P43" t="str">
            <v>AL BARAKAH</v>
          </cell>
          <cell r="Q43">
            <v>230</v>
          </cell>
          <cell r="R43">
            <v>250700</v>
          </cell>
          <cell r="S43">
            <v>165</v>
          </cell>
          <cell r="T43" t="str">
            <v>91-180 Days</v>
          </cell>
          <cell r="U43">
            <v>109</v>
          </cell>
          <cell r="V43" t="str">
            <v>90616000-1 to 90616000-109</v>
          </cell>
        </row>
        <row r="44">
          <cell r="E44" t="str">
            <v>123364</v>
          </cell>
          <cell r="F44">
            <v>52</v>
          </cell>
          <cell r="G44">
            <v>10</v>
          </cell>
          <cell r="H44">
            <v>520</v>
          </cell>
          <cell r="I44" t="str">
            <v>DATES</v>
          </cell>
          <cell r="J44" t="str">
            <v>Seedless</v>
          </cell>
          <cell r="K44" t="str">
            <v>Khalas-Seedless</v>
          </cell>
          <cell r="L44" t="str">
            <v>Seedless</v>
          </cell>
          <cell r="M44" t="str">
            <v>Wet Dates Seedless Khalas</v>
          </cell>
          <cell r="N44" t="str">
            <v>CDPL</v>
          </cell>
          <cell r="O44" t="str">
            <v>Rishi</v>
          </cell>
          <cell r="P44" t="str">
            <v>AL BARAKAH</v>
          </cell>
          <cell r="Q44">
            <v>126</v>
          </cell>
          <cell r="R44">
            <v>65520</v>
          </cell>
          <cell r="S44">
            <v>164</v>
          </cell>
          <cell r="T44" t="str">
            <v>91-180 Days</v>
          </cell>
          <cell r="U44">
            <v>52</v>
          </cell>
          <cell r="V44" t="str">
            <v>90617000-1 to 90617000-52</v>
          </cell>
        </row>
        <row r="45">
          <cell r="E45" t="str">
            <v>123365</v>
          </cell>
          <cell r="F45">
            <v>55</v>
          </cell>
          <cell r="G45">
            <v>5</v>
          </cell>
          <cell r="H45">
            <v>275</v>
          </cell>
          <cell r="I45" t="str">
            <v>DATES</v>
          </cell>
          <cell r="J45" t="str">
            <v>Fard</v>
          </cell>
          <cell r="K45" t="str">
            <v>Fard-Seedless</v>
          </cell>
          <cell r="L45" t="str">
            <v>Seedless</v>
          </cell>
          <cell r="M45" t="str">
            <v>Al Barakah Fard Dates Seedless</v>
          </cell>
          <cell r="N45" t="str">
            <v>CDPL</v>
          </cell>
          <cell r="O45" t="str">
            <v>Rishi</v>
          </cell>
          <cell r="P45" t="str">
            <v>AL BARAKAH</v>
          </cell>
          <cell r="Q45">
            <v>230</v>
          </cell>
          <cell r="R45">
            <v>63250</v>
          </cell>
          <cell r="S45">
            <v>164</v>
          </cell>
          <cell r="T45" t="str">
            <v>91-180 Days</v>
          </cell>
          <cell r="U45">
            <v>55</v>
          </cell>
          <cell r="V45" t="str">
            <v>90618000-1 to 90618000-55</v>
          </cell>
        </row>
        <row r="46">
          <cell r="E46" t="str">
            <v>123366</v>
          </cell>
          <cell r="F46">
            <v>73</v>
          </cell>
          <cell r="G46">
            <v>10</v>
          </cell>
          <cell r="H46">
            <v>730</v>
          </cell>
          <cell r="I46" t="str">
            <v>DATES</v>
          </cell>
          <cell r="J46" t="str">
            <v>Fard</v>
          </cell>
          <cell r="K46" t="str">
            <v>Fard-Seedless</v>
          </cell>
          <cell r="L46" t="str">
            <v>Seedless</v>
          </cell>
          <cell r="M46" t="str">
            <v>Al Barakah Fard Dates Seedless</v>
          </cell>
          <cell r="N46" t="str">
            <v>CDPL</v>
          </cell>
          <cell r="O46" t="str">
            <v>Rishi</v>
          </cell>
          <cell r="P46" t="str">
            <v>AL BARAKAH</v>
          </cell>
          <cell r="Q46">
            <v>230</v>
          </cell>
          <cell r="R46">
            <v>167900</v>
          </cell>
          <cell r="S46">
            <v>164</v>
          </cell>
          <cell r="T46" t="str">
            <v>91-180 Days</v>
          </cell>
          <cell r="U46">
            <v>73</v>
          </cell>
          <cell r="V46" t="str">
            <v>90619000-1 to 90619000-73</v>
          </cell>
        </row>
        <row r="47">
          <cell r="E47" t="str">
            <v>123591</v>
          </cell>
          <cell r="F47">
            <v>307</v>
          </cell>
          <cell r="G47">
            <v>10</v>
          </cell>
          <cell r="H47">
            <v>3070</v>
          </cell>
          <cell r="I47" t="str">
            <v>DATES</v>
          </cell>
          <cell r="J47" t="str">
            <v>Zahidi</v>
          </cell>
          <cell r="K47" t="str">
            <v>Zahidi</v>
          </cell>
          <cell r="L47" t="str">
            <v>Zahidi</v>
          </cell>
          <cell r="M47" t="str">
            <v>Wet Dates Zahidi</v>
          </cell>
          <cell r="N47" t="str">
            <v>CDPL</v>
          </cell>
          <cell r="O47" t="str">
            <v>Rishi</v>
          </cell>
          <cell r="P47" t="str">
            <v>Local</v>
          </cell>
          <cell r="Q47">
            <v>115</v>
          </cell>
          <cell r="R47">
            <v>353050</v>
          </cell>
          <cell r="S47">
            <v>157</v>
          </cell>
          <cell r="T47" t="str">
            <v>91-180 Days</v>
          </cell>
          <cell r="U47">
            <v>307</v>
          </cell>
          <cell r="V47" t="str">
            <v>90620000-103 to 90620000-409</v>
          </cell>
        </row>
        <row r="48">
          <cell r="E48" t="str">
            <v>123688</v>
          </cell>
          <cell r="F48">
            <v>40</v>
          </cell>
          <cell r="G48">
            <v>10</v>
          </cell>
          <cell r="H48">
            <v>400</v>
          </cell>
          <cell r="I48" t="str">
            <v>DATES</v>
          </cell>
          <cell r="J48" t="str">
            <v>Khalas</v>
          </cell>
          <cell r="K48" t="str">
            <v>Khalas</v>
          </cell>
          <cell r="L48" t="str">
            <v>VR IND</v>
          </cell>
          <cell r="M48" t="str">
            <v>AL BARAKAH KHALAS DATES</v>
          </cell>
          <cell r="N48" t="str">
            <v>CDPL</v>
          </cell>
          <cell r="O48" t="str">
            <v>Rishi</v>
          </cell>
          <cell r="P48" t="str">
            <v>AL BARAKAH</v>
          </cell>
          <cell r="Q48">
            <v>116</v>
          </cell>
          <cell r="R48">
            <v>46400</v>
          </cell>
          <cell r="S48">
            <v>155</v>
          </cell>
          <cell r="T48" t="str">
            <v>91-180 Days</v>
          </cell>
          <cell r="U48">
            <v>40</v>
          </cell>
          <cell r="V48" t="str">
            <v>90623000-1 to 90623000-40</v>
          </cell>
        </row>
        <row r="49">
          <cell r="E49" t="str">
            <v>123887</v>
          </cell>
          <cell r="F49">
            <v>50</v>
          </cell>
          <cell r="G49">
            <v>10</v>
          </cell>
          <cell r="H49">
            <v>500</v>
          </cell>
          <cell r="I49" t="str">
            <v>DATES</v>
          </cell>
          <cell r="J49" t="str">
            <v>Seedless</v>
          </cell>
          <cell r="K49" t="str">
            <v>Khalas-Seedless</v>
          </cell>
          <cell r="L49" t="str">
            <v>Seedless</v>
          </cell>
          <cell r="M49" t="str">
            <v>Wet Dates Seedless Khalas</v>
          </cell>
          <cell r="N49" t="str">
            <v>CDPL</v>
          </cell>
          <cell r="O49" t="str">
            <v>Rishi</v>
          </cell>
          <cell r="P49" t="str">
            <v>AL BARAKAH</v>
          </cell>
          <cell r="Q49">
            <v>126</v>
          </cell>
          <cell r="R49">
            <v>63000</v>
          </cell>
          <cell r="S49">
            <v>150</v>
          </cell>
          <cell r="T49" t="str">
            <v>91-180 Days</v>
          </cell>
          <cell r="U49">
            <v>50</v>
          </cell>
          <cell r="V49" t="str">
            <v>90624000-1 to 90624000-50</v>
          </cell>
        </row>
        <row r="50">
          <cell r="E50" t="str">
            <v>123936</v>
          </cell>
          <cell r="F50">
            <v>400</v>
          </cell>
          <cell r="G50">
            <v>6</v>
          </cell>
          <cell r="H50">
            <v>2400</v>
          </cell>
          <cell r="I50" t="str">
            <v>DATES</v>
          </cell>
          <cell r="J50" t="str">
            <v>Kimia</v>
          </cell>
          <cell r="K50" t="str">
            <v>Mazafati-B (Small)</v>
          </cell>
          <cell r="L50" t="str">
            <v>Small Count</v>
          </cell>
          <cell r="M50" t="str">
            <v>Wet Dates (Mazafati)</v>
          </cell>
          <cell r="N50" t="str">
            <v>CDPL</v>
          </cell>
          <cell r="O50" t="str">
            <v>Rishi</v>
          </cell>
          <cell r="P50" t="str">
            <v>Local</v>
          </cell>
          <cell r="Q50">
            <v>199</v>
          </cell>
          <cell r="R50">
            <v>477600</v>
          </cell>
          <cell r="S50">
            <v>149</v>
          </cell>
          <cell r="T50" t="str">
            <v>91-180 Days</v>
          </cell>
          <cell r="U50">
            <v>400</v>
          </cell>
          <cell r="V50" t="str">
            <v>90627000-1 to 90627000-400</v>
          </cell>
        </row>
        <row r="51">
          <cell r="E51" t="str">
            <v>124409</v>
          </cell>
          <cell r="F51">
            <v>264</v>
          </cell>
          <cell r="G51">
            <v>6</v>
          </cell>
          <cell r="H51">
            <v>1584</v>
          </cell>
          <cell r="I51" t="str">
            <v>DATES</v>
          </cell>
          <cell r="J51" t="str">
            <v>Kimia</v>
          </cell>
          <cell r="K51" t="str">
            <v>Mazafati-B (Small)</v>
          </cell>
          <cell r="L51" t="str">
            <v>Small Count</v>
          </cell>
          <cell r="M51" t="str">
            <v>Wet Dates (Mazafati)</v>
          </cell>
          <cell r="N51" t="str">
            <v>CDPL</v>
          </cell>
          <cell r="O51" t="str">
            <v>Rishi</v>
          </cell>
          <cell r="P51" t="str">
            <v>Local</v>
          </cell>
          <cell r="Q51">
            <v>199</v>
          </cell>
          <cell r="R51">
            <v>315216</v>
          </cell>
          <cell r="S51">
            <v>136</v>
          </cell>
          <cell r="T51" t="str">
            <v>91-180 Days</v>
          </cell>
          <cell r="U51">
            <v>264</v>
          </cell>
          <cell r="V51" t="str">
            <v>90630000-1 to 90630000-264</v>
          </cell>
        </row>
        <row r="52">
          <cell r="E52" t="str">
            <v>124679</v>
          </cell>
          <cell r="F52">
            <v>1912</v>
          </cell>
          <cell r="G52">
            <v>10</v>
          </cell>
          <cell r="H52">
            <v>19120</v>
          </cell>
          <cell r="I52" t="str">
            <v>DATES</v>
          </cell>
          <cell r="J52" t="str">
            <v>Egyptian</v>
          </cell>
          <cell r="K52" t="str">
            <v>Egyptian</v>
          </cell>
          <cell r="L52" t="str">
            <v>Egyptian</v>
          </cell>
          <cell r="M52" t="str">
            <v>Egyptian Wet Dates 10Kg</v>
          </cell>
          <cell r="N52" t="str">
            <v>CDPL</v>
          </cell>
          <cell r="O52" t="str">
            <v>Rishi</v>
          </cell>
          <cell r="P52" t="str">
            <v>Muffaddar</v>
          </cell>
          <cell r="Q52">
            <v>100</v>
          </cell>
          <cell r="R52">
            <v>1912000</v>
          </cell>
          <cell r="S52">
            <v>122</v>
          </cell>
          <cell r="T52" t="str">
            <v>91-180 Days</v>
          </cell>
          <cell r="U52">
            <v>1912</v>
          </cell>
          <cell r="V52" t="str">
            <v>90632000-1 to 90632000-1912</v>
          </cell>
        </row>
        <row r="53">
          <cell r="E53" t="str">
            <v>124994</v>
          </cell>
          <cell r="F53">
            <v>88</v>
          </cell>
          <cell r="G53">
            <v>10</v>
          </cell>
          <cell r="H53">
            <v>880</v>
          </cell>
          <cell r="I53" t="str">
            <v>DATES</v>
          </cell>
          <cell r="J53" t="str">
            <v>Khalas</v>
          </cell>
          <cell r="K53" t="str">
            <v>Khalas</v>
          </cell>
          <cell r="L53" t="str">
            <v>Premium Harvest</v>
          </cell>
          <cell r="M53" t="str">
            <v>Wet Dates Khalas</v>
          </cell>
          <cell r="N53" t="str">
            <v>CDPL</v>
          </cell>
          <cell r="O53" t="str">
            <v>Rishi</v>
          </cell>
          <cell r="P53" t="str">
            <v>Local</v>
          </cell>
          <cell r="Q53">
            <v>116</v>
          </cell>
          <cell r="R53">
            <v>102080</v>
          </cell>
          <cell r="S53">
            <v>110</v>
          </cell>
          <cell r="T53" t="str">
            <v>91-180 Days</v>
          </cell>
          <cell r="U53">
            <v>88</v>
          </cell>
          <cell r="V53" t="str">
            <v>90635000-1 to 90635000-88</v>
          </cell>
        </row>
        <row r="54">
          <cell r="E54" t="str">
            <v>125165</v>
          </cell>
          <cell r="F54">
            <v>6</v>
          </cell>
          <cell r="G54">
            <v>10</v>
          </cell>
          <cell r="H54">
            <v>60</v>
          </cell>
          <cell r="I54" t="str">
            <v>DATES</v>
          </cell>
          <cell r="J54" t="str">
            <v>Khaneizi</v>
          </cell>
          <cell r="K54" t="str">
            <v>Khaneizi</v>
          </cell>
          <cell r="L54" t="str">
            <v>Premium Harvest</v>
          </cell>
          <cell r="M54" t="str">
            <v>Wet Dates Khaneizi</v>
          </cell>
          <cell r="N54" t="str">
            <v>CDPL</v>
          </cell>
          <cell r="O54" t="str">
            <v>Rishi</v>
          </cell>
          <cell r="P54" t="str">
            <v>Local</v>
          </cell>
          <cell r="Q54">
            <v>191</v>
          </cell>
          <cell r="R54">
            <v>11460</v>
          </cell>
          <cell r="S54">
            <v>104</v>
          </cell>
          <cell r="T54" t="str">
            <v>91-180 Days</v>
          </cell>
          <cell r="U54">
            <v>6</v>
          </cell>
          <cell r="V54" t="str">
            <v>90637000-1 to 90637000-6</v>
          </cell>
        </row>
        <row r="55">
          <cell r="E55" t="str">
            <v>125276</v>
          </cell>
          <cell r="F55">
            <v>999</v>
          </cell>
          <cell r="G55">
            <v>10</v>
          </cell>
          <cell r="H55">
            <v>9990</v>
          </cell>
          <cell r="I55" t="str">
            <v>DATES</v>
          </cell>
          <cell r="J55" t="str">
            <v>Fard</v>
          </cell>
          <cell r="K55" t="str">
            <v>Fard-Prem-RTV Nageshwar</v>
          </cell>
          <cell r="L55" t="str">
            <v>RTV-Orange Nageshwar</v>
          </cell>
          <cell r="M55" t="str">
            <v>Al Barakah Fard Dates Premium</v>
          </cell>
          <cell r="N55" t="str">
            <v>CDPL</v>
          </cell>
          <cell r="O55" t="str">
            <v>Rishi</v>
          </cell>
          <cell r="P55" t="str">
            <v>AL BARAKAH</v>
          </cell>
          <cell r="Q55">
            <v>233</v>
          </cell>
          <cell r="R55">
            <v>2327670</v>
          </cell>
          <cell r="S55">
            <v>100</v>
          </cell>
          <cell r="T55" t="str">
            <v>91-180 Days</v>
          </cell>
          <cell r="U55">
            <v>999</v>
          </cell>
          <cell r="V55" t="str">
            <v>90640000-1 to 90640000-999</v>
          </cell>
        </row>
        <row r="56">
          <cell r="E56" t="str">
            <v>125320</v>
          </cell>
          <cell r="F56">
            <v>810</v>
          </cell>
          <cell r="G56">
            <v>5</v>
          </cell>
          <cell r="H56">
            <v>4050</v>
          </cell>
          <cell r="I56" t="str">
            <v>DATES</v>
          </cell>
          <cell r="J56" t="str">
            <v>Sayer</v>
          </cell>
          <cell r="K56" t="str">
            <v>Sayer-5Kg</v>
          </cell>
          <cell r="L56" t="str">
            <v>5Kg</v>
          </cell>
          <cell r="M56" t="str">
            <v>Wet Date Sayer ( Unpitted )</v>
          </cell>
          <cell r="N56" t="str">
            <v>CDPL</v>
          </cell>
          <cell r="O56" t="str">
            <v>Rishi</v>
          </cell>
          <cell r="P56" t="str">
            <v>Local</v>
          </cell>
          <cell r="Q56">
            <v>96</v>
          </cell>
          <cell r="R56">
            <v>388800</v>
          </cell>
          <cell r="S56">
            <v>98</v>
          </cell>
          <cell r="T56" t="str">
            <v>91-180 Days</v>
          </cell>
          <cell r="U56">
            <v>810</v>
          </cell>
          <cell r="V56" t="str">
            <v>90644000-1 to 90644000-810</v>
          </cell>
        </row>
        <row r="57">
          <cell r="E57" t="str">
            <v>125397</v>
          </cell>
          <cell r="F57">
            <v>84</v>
          </cell>
          <cell r="G57">
            <v>5</v>
          </cell>
          <cell r="H57">
            <v>420</v>
          </cell>
          <cell r="I57" t="str">
            <v>DATES</v>
          </cell>
          <cell r="J57" t="str">
            <v>Seedless</v>
          </cell>
          <cell r="K57" t="str">
            <v>Rabia Seedless</v>
          </cell>
          <cell r="L57" t="str">
            <v>Rabia</v>
          </cell>
          <cell r="M57" t="str">
            <v>Rabia Seedless</v>
          </cell>
          <cell r="N57" t="str">
            <v>CDPL</v>
          </cell>
          <cell r="O57" t="str">
            <v>Rishi</v>
          </cell>
          <cell r="P57" t="str">
            <v>Local</v>
          </cell>
          <cell r="Q57">
            <v>126</v>
          </cell>
          <cell r="R57">
            <v>52920</v>
          </cell>
          <cell r="S57">
            <v>96</v>
          </cell>
          <cell r="T57" t="str">
            <v>91-180 Days</v>
          </cell>
          <cell r="U57">
            <v>84</v>
          </cell>
          <cell r="V57" t="str">
            <v>90646000-1 to 90646000-84</v>
          </cell>
        </row>
        <row r="58">
          <cell r="E58" t="str">
            <v>125398</v>
          </cell>
          <cell r="F58">
            <v>55</v>
          </cell>
          <cell r="G58">
            <v>10</v>
          </cell>
          <cell r="H58">
            <v>550</v>
          </cell>
          <cell r="I58" t="str">
            <v>DATES</v>
          </cell>
          <cell r="J58" t="str">
            <v>Fard</v>
          </cell>
          <cell r="K58" t="str">
            <v>Fard-Seedless</v>
          </cell>
          <cell r="L58" t="str">
            <v>Seedless</v>
          </cell>
          <cell r="M58" t="str">
            <v>Al Barakah Fard Dates Seedless</v>
          </cell>
          <cell r="N58" t="str">
            <v>CDPL</v>
          </cell>
          <cell r="O58" t="str">
            <v>Rishi</v>
          </cell>
          <cell r="P58" t="str">
            <v>AL BARAKAH</v>
          </cell>
          <cell r="Q58">
            <v>230</v>
          </cell>
          <cell r="R58">
            <v>126500</v>
          </cell>
          <cell r="S58">
            <v>96</v>
          </cell>
          <cell r="T58" t="str">
            <v>91-180 Days</v>
          </cell>
          <cell r="U58">
            <v>55</v>
          </cell>
          <cell r="V58" t="str">
            <v>90647000-2 to 90647000-56</v>
          </cell>
        </row>
        <row r="59">
          <cell r="E59" t="str">
            <v>125419</v>
          </cell>
          <cell r="F59">
            <v>200</v>
          </cell>
          <cell r="G59">
            <v>10</v>
          </cell>
          <cell r="H59">
            <v>2000</v>
          </cell>
          <cell r="I59" t="str">
            <v>DATES</v>
          </cell>
          <cell r="J59" t="str">
            <v>Seedless</v>
          </cell>
          <cell r="K59" t="str">
            <v>Khalas-Seedless</v>
          </cell>
          <cell r="L59" t="str">
            <v>Seedless</v>
          </cell>
          <cell r="M59" t="str">
            <v>Wet Dates Seedless Khalas</v>
          </cell>
          <cell r="N59" t="str">
            <v>CDPL</v>
          </cell>
          <cell r="O59" t="str">
            <v>Rishi</v>
          </cell>
          <cell r="P59" t="str">
            <v>AL BARAKAH</v>
          </cell>
          <cell r="Q59">
            <v>126</v>
          </cell>
          <cell r="R59">
            <v>252000</v>
          </cell>
          <cell r="S59">
            <v>95</v>
          </cell>
          <cell r="T59" t="str">
            <v>91-180 Days</v>
          </cell>
          <cell r="U59">
            <v>200</v>
          </cell>
          <cell r="V59" t="str">
            <v>90650000-1 to 90650000-200</v>
          </cell>
        </row>
        <row r="60">
          <cell r="E60" t="str">
            <v>125478</v>
          </cell>
          <cell r="F60">
            <v>1419</v>
          </cell>
          <cell r="G60">
            <v>10</v>
          </cell>
          <cell r="H60">
            <v>14190</v>
          </cell>
          <cell r="I60" t="str">
            <v>DATES</v>
          </cell>
          <cell r="J60" t="str">
            <v>Fard</v>
          </cell>
          <cell r="K60" t="str">
            <v>Fard-AB</v>
          </cell>
          <cell r="L60" t="str">
            <v>AB Grade</v>
          </cell>
          <cell r="M60" t="str">
            <v>AL BARAKAH FARD DATES PREMIUM AB 10KG</v>
          </cell>
          <cell r="N60" t="str">
            <v>CDPL</v>
          </cell>
          <cell r="O60" t="str">
            <v>Rishi</v>
          </cell>
          <cell r="P60" t="str">
            <v>AL BARAKAH</v>
          </cell>
          <cell r="Q60">
            <v>230</v>
          </cell>
          <cell r="R60">
            <v>3263700</v>
          </cell>
          <cell r="S60">
            <v>94</v>
          </cell>
          <cell r="T60" t="str">
            <v>91-180 Days</v>
          </cell>
          <cell r="U60">
            <v>1419</v>
          </cell>
          <cell r="V60" t="str">
            <v>90653000-1 to 90653000-1419</v>
          </cell>
        </row>
        <row r="61">
          <cell r="E61" t="str">
            <v>125483</v>
          </cell>
          <cell r="F61">
            <v>33</v>
          </cell>
          <cell r="G61">
            <v>7.5</v>
          </cell>
          <cell r="H61">
            <v>247.5</v>
          </cell>
          <cell r="I61" t="str">
            <v>DATES</v>
          </cell>
          <cell r="J61" t="str">
            <v>Kimia</v>
          </cell>
          <cell r="K61" t="str">
            <v>Fresho Kimia 500g</v>
          </cell>
          <cell r="L61" t="str">
            <v>Small Count</v>
          </cell>
          <cell r="M61" t="str">
            <v>Fresho Kimia Dates 500 Gm</v>
          </cell>
          <cell r="N61" t="str">
            <v>CDPL</v>
          </cell>
          <cell r="O61" t="str">
            <v>Rishi</v>
          </cell>
          <cell r="P61" t="str">
            <v>W202</v>
          </cell>
          <cell r="Q61">
            <v>300</v>
          </cell>
          <cell r="R61">
            <v>74250</v>
          </cell>
          <cell r="S61">
            <v>94</v>
          </cell>
          <cell r="T61" t="str">
            <v>91-180 Days</v>
          </cell>
          <cell r="U61">
            <v>33</v>
          </cell>
          <cell r="V61" t="str">
            <v>90655000-1 to 90655000-33</v>
          </cell>
        </row>
        <row r="62">
          <cell r="E62" t="str">
            <v>125491</v>
          </cell>
          <cell r="F62">
            <v>74</v>
          </cell>
          <cell r="G62">
            <v>10</v>
          </cell>
          <cell r="H62">
            <v>740</v>
          </cell>
          <cell r="I62" t="str">
            <v>DATES</v>
          </cell>
          <cell r="J62" t="str">
            <v>Seedless</v>
          </cell>
          <cell r="K62" t="str">
            <v>Khalas-Seedless</v>
          </cell>
          <cell r="L62" t="str">
            <v>Seedless</v>
          </cell>
          <cell r="M62" t="str">
            <v>Wet Dates Seedless Khalas</v>
          </cell>
          <cell r="N62" t="str">
            <v>CDPL</v>
          </cell>
          <cell r="O62" t="str">
            <v>Rishi</v>
          </cell>
          <cell r="P62" t="str">
            <v>AL BARAKAH</v>
          </cell>
          <cell r="Q62">
            <v>126</v>
          </cell>
          <cell r="R62">
            <v>93240</v>
          </cell>
          <cell r="S62">
            <v>92</v>
          </cell>
          <cell r="T62" t="str">
            <v>91-180 Days</v>
          </cell>
          <cell r="U62">
            <v>74</v>
          </cell>
          <cell r="V62" t="str">
            <v>90656000-1 to 90656000-74</v>
          </cell>
        </row>
        <row r="63">
          <cell r="E63" t="str">
            <v>125506</v>
          </cell>
          <cell r="F63">
            <v>39</v>
          </cell>
          <cell r="G63">
            <v>10</v>
          </cell>
          <cell r="H63">
            <v>390</v>
          </cell>
          <cell r="I63" t="str">
            <v>DATES</v>
          </cell>
          <cell r="J63" t="str">
            <v>Seedless</v>
          </cell>
          <cell r="K63" t="str">
            <v>Khalas-Seedless</v>
          </cell>
          <cell r="L63" t="str">
            <v>Seedless</v>
          </cell>
          <cell r="M63" t="str">
            <v>Wet Dates Seedless Khalas</v>
          </cell>
          <cell r="N63" t="str">
            <v>CDPL</v>
          </cell>
          <cell r="O63" t="str">
            <v>Rishi</v>
          </cell>
          <cell r="P63" t="str">
            <v>AL BARAKAH</v>
          </cell>
          <cell r="Q63">
            <v>126</v>
          </cell>
          <cell r="R63">
            <v>49140</v>
          </cell>
          <cell r="S63">
            <v>92</v>
          </cell>
          <cell r="T63" t="str">
            <v>91-180 Days</v>
          </cell>
          <cell r="U63">
            <v>39</v>
          </cell>
          <cell r="V63" t="str">
            <v>90657000-1 to 90657000-39</v>
          </cell>
        </row>
        <row r="64">
          <cell r="E64" t="str">
            <v>125606</v>
          </cell>
          <cell r="F64">
            <v>50</v>
          </cell>
          <cell r="G64">
            <v>20</v>
          </cell>
          <cell r="H64">
            <v>1000</v>
          </cell>
          <cell r="I64" t="str">
            <v>DATES</v>
          </cell>
          <cell r="J64" t="str">
            <v>Seedless</v>
          </cell>
          <cell r="K64" t="str">
            <v>Khalas-Seedless</v>
          </cell>
          <cell r="L64" t="str">
            <v>Seedless</v>
          </cell>
          <cell r="M64" t="str">
            <v>Wet Dates Seedless Khalas</v>
          </cell>
          <cell r="N64" t="str">
            <v>CDPL</v>
          </cell>
          <cell r="O64" t="str">
            <v>Rishi</v>
          </cell>
          <cell r="P64" t="str">
            <v>AL BARAKAH</v>
          </cell>
          <cell r="Q64">
            <v>126</v>
          </cell>
          <cell r="R64">
            <v>126000</v>
          </cell>
          <cell r="S64">
            <v>92</v>
          </cell>
          <cell r="T64" t="str">
            <v>91-180 Days</v>
          </cell>
          <cell r="U64">
            <v>50</v>
          </cell>
          <cell r="V64" t="str">
            <v>90658000-1 to 90658000-50</v>
          </cell>
        </row>
        <row r="65">
          <cell r="E65" t="str">
            <v>125609</v>
          </cell>
          <cell r="F65">
            <v>1128</v>
          </cell>
          <cell r="G65">
            <v>5</v>
          </cell>
          <cell r="H65">
            <v>5640</v>
          </cell>
          <cell r="I65" t="str">
            <v>DATES</v>
          </cell>
          <cell r="J65" t="str">
            <v>Maryam</v>
          </cell>
          <cell r="K65" t="str">
            <v>Piyarom-Maryam</v>
          </cell>
          <cell r="L65" t="str">
            <v>New Iran</v>
          </cell>
          <cell r="M65" t="str">
            <v>PIYAROM DATES</v>
          </cell>
          <cell r="N65" t="str">
            <v>CDPL</v>
          </cell>
          <cell r="O65" t="str">
            <v>Rishi</v>
          </cell>
          <cell r="P65" t="str">
            <v>Local</v>
          </cell>
          <cell r="Q65">
            <v>490</v>
          </cell>
          <cell r="R65">
            <v>2763600</v>
          </cell>
          <cell r="S65">
            <v>89</v>
          </cell>
          <cell r="T65" t="str">
            <v>61-90 Days</v>
          </cell>
          <cell r="U65">
            <v>1128</v>
          </cell>
          <cell r="V65" t="str">
            <v>90660000-41 to 90660000-1168</v>
          </cell>
        </row>
        <row r="66">
          <cell r="E66" t="str">
            <v>125621</v>
          </cell>
          <cell r="F66">
            <v>519</v>
          </cell>
          <cell r="G66">
            <v>10</v>
          </cell>
          <cell r="H66">
            <v>5190</v>
          </cell>
          <cell r="I66" t="str">
            <v>DATES</v>
          </cell>
          <cell r="J66" t="str">
            <v>Seedless</v>
          </cell>
          <cell r="K66" t="str">
            <v>Khalas-Seedless-RTV-Tajir</v>
          </cell>
          <cell r="L66" t="str">
            <v>RTV Tajir</v>
          </cell>
          <cell r="M66" t="str">
            <v>Wet Dates Seedless Khalas</v>
          </cell>
          <cell r="N66" t="str">
            <v>CDPL</v>
          </cell>
          <cell r="O66" t="str">
            <v>Rishi</v>
          </cell>
          <cell r="P66" t="str">
            <v>AL BARAKAH</v>
          </cell>
          <cell r="Q66">
            <v>126</v>
          </cell>
          <cell r="R66">
            <v>653940</v>
          </cell>
          <cell r="S66">
            <v>88</v>
          </cell>
          <cell r="T66" t="str">
            <v>61-90 Days</v>
          </cell>
          <cell r="U66">
            <v>519</v>
          </cell>
          <cell r="V66" t="str">
            <v>90662000-1 to 90662000-519</v>
          </cell>
        </row>
        <row r="67">
          <cell r="E67" t="str">
            <v>125633</v>
          </cell>
          <cell r="F67">
            <v>200</v>
          </cell>
          <cell r="G67">
            <v>10</v>
          </cell>
          <cell r="H67">
            <v>2000</v>
          </cell>
          <cell r="I67" t="str">
            <v>DATES</v>
          </cell>
          <cell r="J67" t="str">
            <v>Seedless</v>
          </cell>
          <cell r="K67" t="str">
            <v>Khalas-Seedless</v>
          </cell>
          <cell r="L67" t="str">
            <v>Seedless</v>
          </cell>
          <cell r="M67" t="str">
            <v>Wet Dates Seedless Khalas</v>
          </cell>
          <cell r="N67" t="str">
            <v>CDPL</v>
          </cell>
          <cell r="O67" t="str">
            <v>Rishi</v>
          </cell>
          <cell r="P67" t="str">
            <v>AL BARAKAH</v>
          </cell>
          <cell r="Q67">
            <v>126</v>
          </cell>
          <cell r="R67">
            <v>252000</v>
          </cell>
          <cell r="S67">
            <v>88</v>
          </cell>
          <cell r="T67" t="str">
            <v>61-90 Days</v>
          </cell>
          <cell r="U67">
            <v>200</v>
          </cell>
          <cell r="V67" t="str">
            <v>90663000-1 to 90663000-200</v>
          </cell>
        </row>
        <row r="68">
          <cell r="E68" t="str">
            <v>125655</v>
          </cell>
          <cell r="F68">
            <v>15</v>
          </cell>
          <cell r="G68">
            <v>5</v>
          </cell>
          <cell r="H68">
            <v>75</v>
          </cell>
          <cell r="I68" t="str">
            <v>DATES</v>
          </cell>
          <cell r="J68" t="str">
            <v>Safavi</v>
          </cell>
          <cell r="K68" t="str">
            <v>Safawi</v>
          </cell>
          <cell r="L68" t="str">
            <v>W202</v>
          </cell>
          <cell r="M68" t="str">
            <v>Wet Dates Safavi</v>
          </cell>
          <cell r="N68" t="str">
            <v>CDPL</v>
          </cell>
          <cell r="O68" t="str">
            <v>Rishi</v>
          </cell>
          <cell r="P68" t="str">
            <v>Local</v>
          </cell>
          <cell r="Q68">
            <v>550</v>
          </cell>
          <cell r="R68">
            <v>41250</v>
          </cell>
          <cell r="S68">
            <v>88</v>
          </cell>
          <cell r="T68" t="str">
            <v>61-90 Days</v>
          </cell>
          <cell r="U68">
            <v>15</v>
          </cell>
          <cell r="V68" t="str">
            <v>90664000-1 to 90664000-15</v>
          </cell>
        </row>
        <row r="69">
          <cell r="E69" t="str">
            <v>125730</v>
          </cell>
          <cell r="F69">
            <v>2395</v>
          </cell>
          <cell r="G69">
            <v>10</v>
          </cell>
          <cell r="H69">
            <v>23950</v>
          </cell>
          <cell r="I69" t="str">
            <v>DATES</v>
          </cell>
          <cell r="J69" t="str">
            <v>Fard</v>
          </cell>
          <cell r="K69" t="str">
            <v>Fard-AB</v>
          </cell>
          <cell r="L69" t="str">
            <v>AB Grade</v>
          </cell>
          <cell r="M69" t="str">
            <v>AL BARAKAH FARD DATES PREMIUM AB 10KG</v>
          </cell>
          <cell r="N69" t="str">
            <v>CDPL</v>
          </cell>
          <cell r="O69" t="str">
            <v>Rishi</v>
          </cell>
          <cell r="P69" t="str">
            <v>AL BARAKAH</v>
          </cell>
          <cell r="Q69">
            <v>230</v>
          </cell>
          <cell r="R69">
            <v>5508500</v>
          </cell>
          <cell r="S69">
            <v>84</v>
          </cell>
          <cell r="T69" t="str">
            <v>61-90 Days</v>
          </cell>
          <cell r="U69">
            <v>2395</v>
          </cell>
          <cell r="V69" t="str">
            <v>90666000-1 to 90666000-90, 90666000-94 to 90666000-2398</v>
          </cell>
        </row>
        <row r="70">
          <cell r="E70" t="str">
            <v>125805</v>
          </cell>
          <cell r="F70">
            <v>37</v>
          </cell>
          <cell r="G70">
            <v>6</v>
          </cell>
          <cell r="H70">
            <v>222</v>
          </cell>
          <cell r="I70" t="str">
            <v>DATES</v>
          </cell>
          <cell r="J70" t="str">
            <v>Kimia</v>
          </cell>
          <cell r="K70" t="str">
            <v>ABD Kimia 500g</v>
          </cell>
          <cell r="L70" t="str">
            <v>Small Count</v>
          </cell>
          <cell r="M70" t="str">
            <v>Al Barakah Kimia Dates 500 Gm</v>
          </cell>
          <cell r="N70" t="str">
            <v>CDPL</v>
          </cell>
          <cell r="O70" t="str">
            <v>Rishi</v>
          </cell>
          <cell r="P70" t="str">
            <v>W202</v>
          </cell>
          <cell r="Q70">
            <v>260</v>
          </cell>
          <cell r="R70">
            <v>57720</v>
          </cell>
          <cell r="S70">
            <v>80</v>
          </cell>
          <cell r="T70" t="str">
            <v>61-90 Days</v>
          </cell>
          <cell r="U70">
            <v>37</v>
          </cell>
          <cell r="V70" t="str">
            <v>90667000-11 to 90667000-47</v>
          </cell>
        </row>
        <row r="71">
          <cell r="E71" t="str">
            <v>125836</v>
          </cell>
          <cell r="F71">
            <v>659</v>
          </cell>
          <cell r="G71">
            <v>10</v>
          </cell>
          <cell r="H71">
            <v>6590</v>
          </cell>
          <cell r="I71" t="str">
            <v>DATES</v>
          </cell>
          <cell r="J71" t="str">
            <v>Khalas</v>
          </cell>
          <cell r="K71" t="str">
            <v>Khalas-Local</v>
          </cell>
          <cell r="L71" t="str">
            <v>Premium Harvest</v>
          </cell>
          <cell r="M71" t="str">
            <v>Wet Dates Khalas</v>
          </cell>
          <cell r="N71" t="str">
            <v>CDPL</v>
          </cell>
          <cell r="O71" t="str">
            <v>Rishi</v>
          </cell>
          <cell r="P71" t="str">
            <v>Local</v>
          </cell>
          <cell r="Q71">
            <v>110</v>
          </cell>
          <cell r="R71">
            <v>724900</v>
          </cell>
          <cell r="S71">
            <v>78</v>
          </cell>
          <cell r="T71" t="str">
            <v>61-90 Days</v>
          </cell>
          <cell r="U71">
            <v>659</v>
          </cell>
          <cell r="V71" t="str">
            <v>90673000-151 to 90673000-809</v>
          </cell>
        </row>
        <row r="72">
          <cell r="E72" t="str">
            <v>125859</v>
          </cell>
          <cell r="F72">
            <v>1</v>
          </cell>
          <cell r="G72">
            <v>5</v>
          </cell>
          <cell r="H72">
            <v>5</v>
          </cell>
          <cell r="I72" t="str">
            <v>DATES</v>
          </cell>
          <cell r="J72" t="str">
            <v>Kimia</v>
          </cell>
          <cell r="K72" t="str">
            <v>Fresho Kimia 500g</v>
          </cell>
          <cell r="L72" t="str">
            <v>Small Count</v>
          </cell>
          <cell r="M72" t="str">
            <v>Fresho Kimia Dates 500 Gm</v>
          </cell>
          <cell r="N72" t="str">
            <v>CDPL</v>
          </cell>
          <cell r="O72" t="str">
            <v>Rishi</v>
          </cell>
          <cell r="P72" t="str">
            <v>W202</v>
          </cell>
          <cell r="Q72">
            <v>300</v>
          </cell>
          <cell r="R72">
            <v>1500</v>
          </cell>
          <cell r="S72">
            <v>78</v>
          </cell>
          <cell r="T72" t="str">
            <v>61-90 Days</v>
          </cell>
          <cell r="U72">
            <v>1</v>
          </cell>
          <cell r="V72" t="str">
            <v>90672000-1</v>
          </cell>
        </row>
        <row r="73">
          <cell r="E73" t="str">
            <v>125859</v>
          </cell>
          <cell r="F73">
            <v>66</v>
          </cell>
          <cell r="G73">
            <v>7.5</v>
          </cell>
          <cell r="H73">
            <v>495</v>
          </cell>
          <cell r="I73" t="str">
            <v>DATES</v>
          </cell>
          <cell r="J73" t="str">
            <v>Kimia</v>
          </cell>
          <cell r="K73" t="str">
            <v>Fresho Kimia 500g</v>
          </cell>
          <cell r="L73" t="str">
            <v>Small Count</v>
          </cell>
          <cell r="M73" t="str">
            <v>Fresho Kimia Dates 500 Gm</v>
          </cell>
          <cell r="N73" t="str">
            <v>CDPL</v>
          </cell>
          <cell r="O73" t="str">
            <v>Rishi</v>
          </cell>
          <cell r="P73" t="str">
            <v>W202</v>
          </cell>
          <cell r="Q73">
            <v>300</v>
          </cell>
          <cell r="R73">
            <v>148500</v>
          </cell>
          <cell r="S73">
            <v>78</v>
          </cell>
          <cell r="T73" t="str">
            <v>61-90 Days</v>
          </cell>
          <cell r="U73">
            <v>66</v>
          </cell>
          <cell r="V73" t="str">
            <v>90671000-1 to 90671000-66</v>
          </cell>
        </row>
        <row r="74">
          <cell r="E74" t="str">
            <v>125860</v>
          </cell>
          <cell r="F74">
            <v>35</v>
          </cell>
          <cell r="G74">
            <v>6</v>
          </cell>
          <cell r="H74">
            <v>210</v>
          </cell>
          <cell r="I74" t="str">
            <v>DATES</v>
          </cell>
          <cell r="J74" t="str">
            <v>Kimia</v>
          </cell>
          <cell r="K74" t="str">
            <v>ABD Kimia 500g</v>
          </cell>
          <cell r="L74" t="str">
            <v>Small Count</v>
          </cell>
          <cell r="M74" t="str">
            <v>Al Barakah Kimia Dates 500 Gm</v>
          </cell>
          <cell r="N74" t="str">
            <v>CDPL</v>
          </cell>
          <cell r="O74" t="str">
            <v>Rishi</v>
          </cell>
          <cell r="P74" t="str">
            <v>W202</v>
          </cell>
          <cell r="Q74">
            <v>260</v>
          </cell>
          <cell r="R74">
            <v>54600</v>
          </cell>
          <cell r="S74">
            <v>78</v>
          </cell>
          <cell r="T74" t="str">
            <v>61-90 Days</v>
          </cell>
          <cell r="U74">
            <v>35</v>
          </cell>
          <cell r="V74" t="str">
            <v>90670000-1 to 90670000-35</v>
          </cell>
        </row>
        <row r="75">
          <cell r="E75" t="str">
            <v>125863</v>
          </cell>
          <cell r="F75">
            <v>1162</v>
          </cell>
          <cell r="G75">
            <v>10</v>
          </cell>
          <cell r="H75">
            <v>11620</v>
          </cell>
          <cell r="I75" t="str">
            <v>DATES</v>
          </cell>
          <cell r="J75" t="str">
            <v>Fard</v>
          </cell>
          <cell r="K75" t="str">
            <v>Fard-C</v>
          </cell>
          <cell r="L75" t="str">
            <v>C Grade</v>
          </cell>
          <cell r="M75" t="str">
            <v>AL BARAKAH FARD DATES STANDARD C 10KG</v>
          </cell>
          <cell r="N75" t="str">
            <v>CDPL</v>
          </cell>
          <cell r="O75" t="str">
            <v>Rishi</v>
          </cell>
          <cell r="P75" t="str">
            <v>AL BARAKAH</v>
          </cell>
          <cell r="Q75">
            <v>190</v>
          </cell>
          <cell r="R75">
            <v>2207800</v>
          </cell>
          <cell r="S75">
            <v>78</v>
          </cell>
          <cell r="T75" t="str">
            <v>61-90 Days</v>
          </cell>
          <cell r="U75">
            <v>1162</v>
          </cell>
          <cell r="V75" t="str">
            <v>90675000-805 to 90675000-999, 90675000-1002 to 90675000-1968</v>
          </cell>
        </row>
        <row r="76">
          <cell r="E76" t="str">
            <v>125864</v>
          </cell>
          <cell r="F76">
            <v>171</v>
          </cell>
          <cell r="G76">
            <v>0</v>
          </cell>
          <cell r="H76">
            <v>0</v>
          </cell>
          <cell r="I76" t="str">
            <v>DATES</v>
          </cell>
          <cell r="J76" t="str">
            <v>Fard</v>
          </cell>
          <cell r="K76" t="str">
            <v>Fard-C</v>
          </cell>
          <cell r="L76" t="str">
            <v>C Grade</v>
          </cell>
          <cell r="M76" t="str">
            <v>AL BARAKAH FARD DATES STANDARD C 10KG</v>
          </cell>
          <cell r="N76" t="str">
            <v>CDPL</v>
          </cell>
          <cell r="O76" t="str">
            <v>Rishi</v>
          </cell>
          <cell r="P76" t="str">
            <v>AL BARAKAH</v>
          </cell>
          <cell r="Q76">
            <v>190</v>
          </cell>
          <cell r="R76">
            <v>0</v>
          </cell>
          <cell r="S76">
            <v>78</v>
          </cell>
          <cell r="T76" t="str">
            <v>61-90 Days</v>
          </cell>
          <cell r="U76">
            <v>171</v>
          </cell>
          <cell r="V76" t="str">
            <v>90676000-58 to 90676000-228</v>
          </cell>
        </row>
        <row r="77">
          <cell r="E77" t="str">
            <v>125876</v>
          </cell>
          <cell r="F77">
            <v>67</v>
          </cell>
          <cell r="G77">
            <v>10</v>
          </cell>
          <cell r="H77">
            <v>670</v>
          </cell>
          <cell r="I77" t="str">
            <v>DATES</v>
          </cell>
          <cell r="J77" t="str">
            <v>Seedless</v>
          </cell>
          <cell r="K77" t="str">
            <v>Khalas-Seedless-RTV-MIE</v>
          </cell>
          <cell r="L77" t="str">
            <v>MIE RTV</v>
          </cell>
          <cell r="M77" t="str">
            <v>Wet Dates Seedless Khalas</v>
          </cell>
          <cell r="N77" t="str">
            <v>CDPL</v>
          </cell>
          <cell r="O77" t="str">
            <v>Rishi</v>
          </cell>
          <cell r="P77" t="str">
            <v>AL BARAKAH</v>
          </cell>
          <cell r="Q77">
            <v>126</v>
          </cell>
          <cell r="R77">
            <v>84420</v>
          </cell>
          <cell r="S77">
            <v>78</v>
          </cell>
          <cell r="T77" t="str">
            <v>61-90 Days</v>
          </cell>
          <cell r="U77">
            <v>67</v>
          </cell>
          <cell r="V77" t="str">
            <v>90674000-1 to 90674000-67</v>
          </cell>
        </row>
        <row r="78">
          <cell r="E78" t="str">
            <v>125880</v>
          </cell>
          <cell r="F78">
            <v>2236</v>
          </cell>
          <cell r="G78">
            <v>10</v>
          </cell>
          <cell r="H78">
            <v>22360</v>
          </cell>
          <cell r="I78" t="str">
            <v>DATES</v>
          </cell>
          <cell r="J78" t="str">
            <v>Fard</v>
          </cell>
          <cell r="K78" t="str">
            <v>Fard-A</v>
          </cell>
          <cell r="L78" t="str">
            <v>A Grade</v>
          </cell>
          <cell r="M78" t="str">
            <v>AL BARAKAH FARD DATES STANDARD A 10KG</v>
          </cell>
          <cell r="N78" t="str">
            <v>CDPL</v>
          </cell>
          <cell r="O78" t="str">
            <v>Rishi</v>
          </cell>
          <cell r="P78" t="str">
            <v>AL BARAKAH</v>
          </cell>
          <cell r="Q78">
            <v>247</v>
          </cell>
          <cell r="R78">
            <v>5522920</v>
          </cell>
          <cell r="S78">
            <v>77</v>
          </cell>
          <cell r="T78" t="str">
            <v>61-90 Days</v>
          </cell>
          <cell r="U78">
            <v>2236</v>
          </cell>
          <cell r="V78" t="str">
            <v>90677000-2 to 90677000-2237</v>
          </cell>
        </row>
        <row r="79">
          <cell r="E79" t="str">
            <v>125901</v>
          </cell>
          <cell r="F79">
            <v>91</v>
          </cell>
          <cell r="G79">
            <v>5</v>
          </cell>
          <cell r="H79">
            <v>455</v>
          </cell>
          <cell r="I79" t="str">
            <v>DATES</v>
          </cell>
          <cell r="J79" t="str">
            <v>Safavi</v>
          </cell>
          <cell r="K79" t="str">
            <v>Safawi</v>
          </cell>
          <cell r="L79" t="str">
            <v>Premium Harvest</v>
          </cell>
          <cell r="M79" t="str">
            <v>Wet Dates Safavi</v>
          </cell>
          <cell r="N79" t="str">
            <v>CDPL</v>
          </cell>
          <cell r="O79" t="str">
            <v>Rishi</v>
          </cell>
          <cell r="P79" t="str">
            <v>Local</v>
          </cell>
          <cell r="Q79">
            <v>420</v>
          </cell>
          <cell r="R79">
            <v>191100</v>
          </cell>
          <cell r="S79">
            <v>76</v>
          </cell>
          <cell r="T79" t="str">
            <v>61-90 Days</v>
          </cell>
          <cell r="U79">
            <v>91</v>
          </cell>
          <cell r="V79" t="str">
            <v>90679000-1 to 90679000-91</v>
          </cell>
        </row>
        <row r="80">
          <cell r="E80" t="str">
            <v>125932</v>
          </cell>
          <cell r="F80">
            <v>118</v>
          </cell>
          <cell r="G80">
            <v>10</v>
          </cell>
          <cell r="H80">
            <v>1180</v>
          </cell>
          <cell r="I80" t="str">
            <v>DATES</v>
          </cell>
          <cell r="J80" t="str">
            <v>Seedless</v>
          </cell>
          <cell r="K80" t="str">
            <v>Khalas-Seedless</v>
          </cell>
          <cell r="L80" t="str">
            <v>Seedless</v>
          </cell>
          <cell r="M80" t="str">
            <v>Wet Dates Seedless Khalas</v>
          </cell>
          <cell r="N80" t="str">
            <v>CDPL</v>
          </cell>
          <cell r="O80" t="str">
            <v>Rishi</v>
          </cell>
          <cell r="P80" t="str">
            <v>AL BARAKAH</v>
          </cell>
          <cell r="Q80">
            <v>126</v>
          </cell>
          <cell r="R80">
            <v>148680</v>
          </cell>
          <cell r="S80">
            <v>75</v>
          </cell>
          <cell r="T80" t="str">
            <v>61-90 Days</v>
          </cell>
          <cell r="U80">
            <v>118</v>
          </cell>
          <cell r="V80" t="str">
            <v>90680000-68 to 90680000-185</v>
          </cell>
        </row>
        <row r="81">
          <cell r="E81" t="str">
            <v>125937</v>
          </cell>
          <cell r="F81">
            <v>34</v>
          </cell>
          <cell r="G81">
            <v>8.1999999999999993</v>
          </cell>
          <cell r="H81">
            <v>278.8</v>
          </cell>
          <cell r="I81" t="str">
            <v>DATES</v>
          </cell>
          <cell r="J81" t="str">
            <v>Seedless</v>
          </cell>
          <cell r="K81" t="str">
            <v>Khalas-Seedless-RTV-Rajguru</v>
          </cell>
          <cell r="L81" t="str">
            <v>RTV</v>
          </cell>
          <cell r="M81" t="str">
            <v>Wet Dates Seedless Khalas</v>
          </cell>
          <cell r="N81" t="str">
            <v>CDPL</v>
          </cell>
          <cell r="O81" t="str">
            <v>Rishi</v>
          </cell>
          <cell r="P81" t="str">
            <v>AL BARAKAH</v>
          </cell>
          <cell r="Q81">
            <v>126</v>
          </cell>
          <cell r="R81">
            <v>35128.800000000003</v>
          </cell>
          <cell r="S81">
            <v>74</v>
          </cell>
          <cell r="T81" t="str">
            <v>61-90 Days</v>
          </cell>
          <cell r="U81">
            <v>34</v>
          </cell>
          <cell r="V81" t="str">
            <v>90681000-1 to 90681000-34</v>
          </cell>
        </row>
        <row r="82">
          <cell r="E82" t="str">
            <v>126000</v>
          </cell>
          <cell r="F82">
            <v>67</v>
          </cell>
          <cell r="G82">
            <v>10</v>
          </cell>
          <cell r="H82">
            <v>670</v>
          </cell>
          <cell r="I82" t="str">
            <v>DATES</v>
          </cell>
          <cell r="J82" t="str">
            <v>Khaneizi</v>
          </cell>
          <cell r="K82" t="str">
            <v>Khaneizi</v>
          </cell>
          <cell r="L82" t="str">
            <v>W202-Small</v>
          </cell>
          <cell r="M82" t="str">
            <v>Wet Dates Khaneizi</v>
          </cell>
          <cell r="N82" t="str">
            <v>CDPL</v>
          </cell>
          <cell r="O82" t="str">
            <v>Rishi</v>
          </cell>
          <cell r="P82" t="str">
            <v>Local</v>
          </cell>
          <cell r="Q82">
            <v>191</v>
          </cell>
          <cell r="R82">
            <v>127970</v>
          </cell>
          <cell r="S82">
            <v>72</v>
          </cell>
          <cell r="T82" t="str">
            <v>61-90 Days</v>
          </cell>
          <cell r="U82">
            <v>67</v>
          </cell>
          <cell r="V82" t="str">
            <v>90682000-1 to 90682000-67</v>
          </cell>
        </row>
        <row r="83">
          <cell r="E83" t="str">
            <v>126030</v>
          </cell>
          <cell r="F83">
            <v>169</v>
          </cell>
          <cell r="G83">
            <v>9.49</v>
          </cell>
          <cell r="H83">
            <v>1603.81</v>
          </cell>
          <cell r="I83" t="str">
            <v>DATES</v>
          </cell>
          <cell r="J83" t="str">
            <v>Seedless</v>
          </cell>
          <cell r="K83" t="str">
            <v>Khalas-Seedless</v>
          </cell>
          <cell r="L83" t="str">
            <v>Al Sakhi</v>
          </cell>
          <cell r="M83" t="str">
            <v>Wet Dates Seedless Khalas</v>
          </cell>
          <cell r="N83" t="str">
            <v>CDPL</v>
          </cell>
          <cell r="O83" t="str">
            <v>Rishi</v>
          </cell>
          <cell r="P83" t="str">
            <v>AL BARAKAH</v>
          </cell>
          <cell r="Q83">
            <v>126</v>
          </cell>
          <cell r="R83">
            <v>202080.06</v>
          </cell>
          <cell r="S83">
            <v>71</v>
          </cell>
          <cell r="T83" t="str">
            <v>61-90 Days</v>
          </cell>
          <cell r="U83">
            <v>169</v>
          </cell>
          <cell r="V83" t="str">
            <v>90683000-1 to 90683000-169</v>
          </cell>
        </row>
        <row r="84">
          <cell r="E84" t="str">
            <v>126130</v>
          </cell>
          <cell r="F84">
            <v>70</v>
          </cell>
          <cell r="G84">
            <v>10</v>
          </cell>
          <cell r="H84">
            <v>700</v>
          </cell>
          <cell r="I84" t="str">
            <v>DATES</v>
          </cell>
          <cell r="J84" t="str">
            <v>Seedless</v>
          </cell>
          <cell r="K84" t="str">
            <v>Khalas-Seedless</v>
          </cell>
          <cell r="L84" t="str">
            <v>Krishna</v>
          </cell>
          <cell r="M84" t="str">
            <v>Wet Dates Seedless Khalas</v>
          </cell>
          <cell r="N84" t="str">
            <v>CDPL</v>
          </cell>
          <cell r="O84" t="str">
            <v>Rishi</v>
          </cell>
          <cell r="P84" t="str">
            <v>AL BARAKAH</v>
          </cell>
          <cell r="Q84">
            <v>126</v>
          </cell>
          <cell r="R84">
            <v>88200</v>
          </cell>
          <cell r="S84">
            <v>67</v>
          </cell>
          <cell r="T84" t="str">
            <v>61-90 Days</v>
          </cell>
          <cell r="U84">
            <v>70</v>
          </cell>
          <cell r="V84" t="str">
            <v>90684000-1 to 90684000-70</v>
          </cell>
        </row>
        <row r="85">
          <cell r="E85" t="str">
            <v>126164</v>
          </cell>
          <cell r="F85">
            <v>882</v>
          </cell>
          <cell r="G85">
            <v>10</v>
          </cell>
          <cell r="H85">
            <v>8820</v>
          </cell>
          <cell r="I85" t="str">
            <v>DATES</v>
          </cell>
          <cell r="J85" t="str">
            <v>Zahidi</v>
          </cell>
          <cell r="K85" t="str">
            <v>Zahidi</v>
          </cell>
          <cell r="L85" t="str">
            <v>Local</v>
          </cell>
          <cell r="M85" t="str">
            <v>Wet Dates Zahidi</v>
          </cell>
          <cell r="N85" t="str">
            <v>CDPL</v>
          </cell>
          <cell r="O85" t="str">
            <v>Rishi</v>
          </cell>
          <cell r="P85" t="str">
            <v>Local</v>
          </cell>
          <cell r="Q85">
            <v>107.62</v>
          </cell>
          <cell r="R85">
            <v>949208.4</v>
          </cell>
          <cell r="S85">
            <v>65</v>
          </cell>
          <cell r="T85" t="str">
            <v>61-90 Days</v>
          </cell>
          <cell r="U85">
            <v>882</v>
          </cell>
          <cell r="V85" t="str">
            <v>64801000-51 to 64801000-932</v>
          </cell>
        </row>
        <row r="86">
          <cell r="E86" t="str">
            <v>126202</v>
          </cell>
          <cell r="F86">
            <v>53</v>
          </cell>
          <cell r="G86">
            <v>10</v>
          </cell>
          <cell r="H86">
            <v>530</v>
          </cell>
          <cell r="I86" t="str">
            <v>DATES</v>
          </cell>
          <cell r="J86" t="str">
            <v>Seedless</v>
          </cell>
          <cell r="K86" t="str">
            <v>Khalas-Seedless</v>
          </cell>
          <cell r="L86" t="str">
            <v>Seedless</v>
          </cell>
          <cell r="M86" t="str">
            <v>Wet Dates Seedless Khalas</v>
          </cell>
          <cell r="N86" t="str">
            <v>CDPL</v>
          </cell>
          <cell r="O86" t="str">
            <v>Rishi</v>
          </cell>
          <cell r="P86" t="str">
            <v>AL BARAKAH</v>
          </cell>
          <cell r="Q86">
            <v>126</v>
          </cell>
          <cell r="R86">
            <v>66780</v>
          </cell>
          <cell r="S86">
            <v>64</v>
          </cell>
          <cell r="T86" t="str">
            <v>61-90 Days</v>
          </cell>
          <cell r="U86">
            <v>53</v>
          </cell>
          <cell r="V86" t="str">
            <v>90688000-1 to 90688000-53</v>
          </cell>
        </row>
        <row r="87">
          <cell r="E87" t="str">
            <v>126220</v>
          </cell>
          <cell r="F87">
            <v>495</v>
          </cell>
          <cell r="G87">
            <v>10</v>
          </cell>
          <cell r="H87">
            <v>4950</v>
          </cell>
          <cell r="I87" t="str">
            <v>DATES</v>
          </cell>
          <cell r="J87" t="str">
            <v>Zahidi</v>
          </cell>
          <cell r="K87" t="str">
            <v>Zahidi</v>
          </cell>
          <cell r="L87" t="str">
            <v>Local</v>
          </cell>
          <cell r="M87" t="str">
            <v>Wet Dates Zahidi</v>
          </cell>
          <cell r="N87" t="str">
            <v>CDPL</v>
          </cell>
          <cell r="O87" t="str">
            <v>Rishi</v>
          </cell>
          <cell r="P87" t="str">
            <v>Local</v>
          </cell>
          <cell r="Q87">
            <v>108.57</v>
          </cell>
          <cell r="R87">
            <v>537421.5</v>
          </cell>
          <cell r="S87">
            <v>64</v>
          </cell>
          <cell r="T87" t="str">
            <v>61-90 Days</v>
          </cell>
          <cell r="U87">
            <v>495</v>
          </cell>
          <cell r="V87" t="str">
            <v>51201000-1 to 51201000-495</v>
          </cell>
        </row>
        <row r="88">
          <cell r="E88" t="str">
            <v>126221</v>
          </cell>
          <cell r="F88">
            <v>5</v>
          </cell>
          <cell r="G88">
            <v>10</v>
          </cell>
          <cell r="H88">
            <v>50</v>
          </cell>
          <cell r="I88" t="str">
            <v>DATES</v>
          </cell>
          <cell r="J88" t="str">
            <v>Zahidi</v>
          </cell>
          <cell r="K88" t="str">
            <v>Zahidi</v>
          </cell>
          <cell r="L88" t="str">
            <v>Local</v>
          </cell>
          <cell r="M88" t="str">
            <v>Wet Dates Zahidi</v>
          </cell>
          <cell r="N88" t="str">
            <v>CDPL</v>
          </cell>
          <cell r="O88" t="str">
            <v>Rishi</v>
          </cell>
          <cell r="P88" t="str">
            <v>Local</v>
          </cell>
          <cell r="Q88">
            <v>108.57</v>
          </cell>
          <cell r="R88">
            <v>5428.5</v>
          </cell>
          <cell r="S88">
            <v>64</v>
          </cell>
          <cell r="T88" t="str">
            <v>61-90 Days</v>
          </cell>
          <cell r="U88">
            <v>5</v>
          </cell>
          <cell r="V88" t="str">
            <v>51202000-1 to 51202000-5</v>
          </cell>
        </row>
        <row r="89">
          <cell r="E89" t="str">
            <v>126266</v>
          </cell>
          <cell r="F89">
            <v>88</v>
          </cell>
          <cell r="G89">
            <v>10</v>
          </cell>
          <cell r="H89">
            <v>880</v>
          </cell>
          <cell r="I89" t="str">
            <v>DATES</v>
          </cell>
          <cell r="J89" t="str">
            <v>Seedless</v>
          </cell>
          <cell r="K89" t="str">
            <v>Khaneizi-Seedless</v>
          </cell>
          <cell r="L89" t="str">
            <v>Seedless</v>
          </cell>
          <cell r="M89" t="str">
            <v>Wet Dates Seedless Khalas</v>
          </cell>
          <cell r="N89" t="str">
            <v>CDPL</v>
          </cell>
          <cell r="O89" t="str">
            <v>Rishi</v>
          </cell>
          <cell r="P89" t="str">
            <v>AL BARAKAH</v>
          </cell>
          <cell r="Q89">
            <v>126</v>
          </cell>
          <cell r="R89">
            <v>110880</v>
          </cell>
          <cell r="S89">
            <v>62</v>
          </cell>
          <cell r="T89" t="str">
            <v>61-90 Days</v>
          </cell>
          <cell r="U89">
            <v>88</v>
          </cell>
          <cell r="V89" t="str">
            <v>90690000-1 to 90690000-88</v>
          </cell>
        </row>
        <row r="90">
          <cell r="E90" t="str">
            <v>126267</v>
          </cell>
          <cell r="F90">
            <v>38</v>
          </cell>
          <cell r="G90">
            <v>10</v>
          </cell>
          <cell r="H90">
            <v>380</v>
          </cell>
          <cell r="I90" t="str">
            <v>DATES</v>
          </cell>
          <cell r="J90" t="str">
            <v>Fard</v>
          </cell>
          <cell r="K90" t="str">
            <v>Fard-Seedless</v>
          </cell>
          <cell r="L90" t="str">
            <v>Seedless</v>
          </cell>
          <cell r="M90" t="str">
            <v>Al Barakah Fard Dates Seedless</v>
          </cell>
          <cell r="N90" t="str">
            <v>CDPL</v>
          </cell>
          <cell r="O90" t="str">
            <v>Rishi</v>
          </cell>
          <cell r="P90" t="str">
            <v>AL BARAKAH</v>
          </cell>
          <cell r="Q90">
            <v>126</v>
          </cell>
          <cell r="R90">
            <v>47880</v>
          </cell>
          <cell r="S90">
            <v>62</v>
          </cell>
          <cell r="T90" t="str">
            <v>61-90 Days</v>
          </cell>
          <cell r="U90">
            <v>38</v>
          </cell>
          <cell r="V90" t="str">
            <v>90691000-1 to 90691000-38</v>
          </cell>
        </row>
        <row r="91">
          <cell r="E91" t="str">
            <v>126269</v>
          </cell>
          <cell r="F91">
            <v>214</v>
          </cell>
          <cell r="G91">
            <v>10</v>
          </cell>
          <cell r="H91">
            <v>2140</v>
          </cell>
          <cell r="I91" t="str">
            <v>DATES</v>
          </cell>
          <cell r="J91" t="str">
            <v>Seedless</v>
          </cell>
          <cell r="K91" t="str">
            <v>Khalas-Seedless-RTV-MIE</v>
          </cell>
          <cell r="L91" t="str">
            <v>MIE RTV</v>
          </cell>
          <cell r="M91" t="str">
            <v>Wet Dates Seedless Khalas</v>
          </cell>
          <cell r="N91" t="str">
            <v>CDPL</v>
          </cell>
          <cell r="O91" t="str">
            <v>Rishi</v>
          </cell>
          <cell r="P91" t="str">
            <v>AL BARAKAH</v>
          </cell>
          <cell r="Q91">
            <v>120</v>
          </cell>
          <cell r="R91">
            <v>256800</v>
          </cell>
          <cell r="S91">
            <v>62</v>
          </cell>
          <cell r="T91" t="str">
            <v>61-90 Days</v>
          </cell>
          <cell r="U91">
            <v>214</v>
          </cell>
          <cell r="V91" t="str">
            <v>90689000-1 to 90689000-214</v>
          </cell>
        </row>
        <row r="92">
          <cell r="E92" t="str">
            <v>126353</v>
          </cell>
          <cell r="F92">
            <v>26</v>
          </cell>
          <cell r="G92">
            <v>6</v>
          </cell>
          <cell r="H92">
            <v>156</v>
          </cell>
          <cell r="I92" t="str">
            <v>DATES</v>
          </cell>
          <cell r="J92" t="str">
            <v>Kimia</v>
          </cell>
          <cell r="K92" t="str">
            <v>ABD Kimia 500g</v>
          </cell>
          <cell r="L92" t="str">
            <v>Small Count</v>
          </cell>
          <cell r="M92" t="str">
            <v>Al Barakah Kimia Dates 500 Gm</v>
          </cell>
          <cell r="N92" t="str">
            <v>CDPL</v>
          </cell>
          <cell r="O92" t="str">
            <v>Rishi</v>
          </cell>
          <cell r="P92" t="str">
            <v>W202</v>
          </cell>
          <cell r="Q92">
            <v>260</v>
          </cell>
          <cell r="R92">
            <v>40560</v>
          </cell>
          <cell r="S92">
            <v>59</v>
          </cell>
          <cell r="T92" t="str">
            <v>31-60 Days</v>
          </cell>
          <cell r="U92">
            <v>26</v>
          </cell>
          <cell r="V92" t="str">
            <v>83201000-1 to 83201000-26</v>
          </cell>
        </row>
        <row r="93">
          <cell r="E93" t="str">
            <v>126441</v>
          </cell>
          <cell r="F93">
            <v>500</v>
          </cell>
          <cell r="G93">
            <v>10</v>
          </cell>
          <cell r="H93">
            <v>5000</v>
          </cell>
          <cell r="I93" t="str">
            <v>DATES</v>
          </cell>
          <cell r="J93" t="str">
            <v>Fard</v>
          </cell>
          <cell r="K93" t="str">
            <v>Fard-Reliance</v>
          </cell>
          <cell r="L93" t="str">
            <v>Reliance</v>
          </cell>
          <cell r="M93" t="str">
            <v>Wet Dates Fardh</v>
          </cell>
          <cell r="N93" t="str">
            <v>CDPL</v>
          </cell>
          <cell r="O93" t="str">
            <v>Rishi</v>
          </cell>
          <cell r="P93" t="str">
            <v>Local</v>
          </cell>
          <cell r="Q93">
            <v>215</v>
          </cell>
          <cell r="R93">
            <v>1075000</v>
          </cell>
          <cell r="S93">
            <v>55</v>
          </cell>
          <cell r="T93" t="str">
            <v>31-60 Days</v>
          </cell>
          <cell r="U93">
            <v>500</v>
          </cell>
          <cell r="V93" t="str">
            <v>28801000-1 to 28801000-500</v>
          </cell>
        </row>
        <row r="94">
          <cell r="E94" t="str">
            <v>126495</v>
          </cell>
          <cell r="F94">
            <v>38</v>
          </cell>
          <cell r="G94">
            <v>6</v>
          </cell>
          <cell r="H94">
            <v>228</v>
          </cell>
          <cell r="I94" t="str">
            <v>DATES</v>
          </cell>
          <cell r="J94" t="str">
            <v>Kimia</v>
          </cell>
          <cell r="K94" t="str">
            <v>ABD Kimia 500g</v>
          </cell>
          <cell r="L94" t="str">
            <v>Small Count</v>
          </cell>
          <cell r="M94" t="str">
            <v>Al Barakah Kimia Dates 500 Gm</v>
          </cell>
          <cell r="N94" t="str">
            <v>CDPL</v>
          </cell>
          <cell r="O94" t="str">
            <v>Rishi</v>
          </cell>
          <cell r="P94" t="str">
            <v>W202</v>
          </cell>
          <cell r="Q94">
            <v>260</v>
          </cell>
          <cell r="R94">
            <v>59280</v>
          </cell>
          <cell r="S94">
            <v>52</v>
          </cell>
          <cell r="T94" t="str">
            <v>31-60 Days</v>
          </cell>
          <cell r="U94">
            <v>38</v>
          </cell>
          <cell r="V94" t="str">
            <v>88001000-1 to 88001000-38</v>
          </cell>
        </row>
        <row r="95">
          <cell r="E95" t="str">
            <v>126646</v>
          </cell>
          <cell r="F95">
            <v>1595</v>
          </cell>
          <cell r="G95">
            <v>6.79</v>
          </cell>
          <cell r="H95">
            <v>10830.05</v>
          </cell>
          <cell r="I95" t="str">
            <v>DATES</v>
          </cell>
          <cell r="J95" t="str">
            <v>Kimia</v>
          </cell>
          <cell r="K95" t="str">
            <v>Mazafati</v>
          </cell>
          <cell r="L95" t="str">
            <v>AA IMPEX</v>
          </cell>
          <cell r="M95" t="str">
            <v>Wet Dates (Mazafati)</v>
          </cell>
          <cell r="N95" t="str">
            <v>CDPL</v>
          </cell>
          <cell r="O95" t="str">
            <v>Rishi</v>
          </cell>
          <cell r="P95" t="str">
            <v>Local</v>
          </cell>
          <cell r="Q95">
            <v>213</v>
          </cell>
          <cell r="R95">
            <v>2306800.65</v>
          </cell>
          <cell r="S95">
            <v>46</v>
          </cell>
          <cell r="T95" t="str">
            <v>31-60 Days</v>
          </cell>
          <cell r="U95">
            <v>1595</v>
          </cell>
          <cell r="V95" t="str">
            <v>06401000-1 to 06401000-1595</v>
          </cell>
        </row>
        <row r="96">
          <cell r="E96" t="str">
            <v>126828</v>
          </cell>
          <cell r="F96">
            <v>241</v>
          </cell>
          <cell r="G96">
            <v>10</v>
          </cell>
          <cell r="H96">
            <v>2410</v>
          </cell>
          <cell r="I96" t="str">
            <v>DATES</v>
          </cell>
          <cell r="J96" t="str">
            <v>Seedless</v>
          </cell>
          <cell r="K96" t="str">
            <v>Khalas-Seedless</v>
          </cell>
          <cell r="L96" t="str">
            <v>Seedless</v>
          </cell>
          <cell r="M96" t="str">
            <v>Wet Dates Seedless Khalas</v>
          </cell>
          <cell r="N96" t="str">
            <v>CDPL</v>
          </cell>
          <cell r="O96" t="str">
            <v>Rishi</v>
          </cell>
          <cell r="P96" t="str">
            <v>AL BARAKAH</v>
          </cell>
          <cell r="Q96">
            <v>126</v>
          </cell>
          <cell r="R96">
            <v>303660</v>
          </cell>
          <cell r="S96">
            <v>39</v>
          </cell>
          <cell r="T96" t="str">
            <v>31-60 Days</v>
          </cell>
          <cell r="U96">
            <v>241</v>
          </cell>
          <cell r="V96" t="str">
            <v>11201000-2 to 11201000-242</v>
          </cell>
        </row>
        <row r="97">
          <cell r="E97" t="str">
            <v>127023</v>
          </cell>
          <cell r="F97">
            <v>4</v>
          </cell>
          <cell r="G97">
            <v>5</v>
          </cell>
          <cell r="H97">
            <v>20</v>
          </cell>
          <cell r="I97" t="str">
            <v>DATES</v>
          </cell>
          <cell r="J97" t="str">
            <v>Maryam</v>
          </cell>
          <cell r="K97" t="str">
            <v>Piyarom-Maryam</v>
          </cell>
          <cell r="L97" t="str">
            <v>W-202</v>
          </cell>
          <cell r="M97" t="str">
            <v>PIYAROM DATES</v>
          </cell>
          <cell r="N97" t="str">
            <v>CDPL</v>
          </cell>
          <cell r="O97" t="str">
            <v>Rishi</v>
          </cell>
          <cell r="P97" t="str">
            <v>Local</v>
          </cell>
          <cell r="Q97">
            <v>490</v>
          </cell>
          <cell r="R97">
            <v>9800</v>
          </cell>
          <cell r="S97">
            <v>33</v>
          </cell>
          <cell r="T97" t="str">
            <v>31-60 Days</v>
          </cell>
          <cell r="U97">
            <v>4</v>
          </cell>
          <cell r="V97" t="str">
            <v>29601000-1 to 29601000-4</v>
          </cell>
        </row>
        <row r="98">
          <cell r="E98" t="str">
            <v>127024</v>
          </cell>
          <cell r="F98">
            <v>2</v>
          </cell>
          <cell r="G98">
            <v>10</v>
          </cell>
          <cell r="H98">
            <v>20</v>
          </cell>
          <cell r="I98" t="str">
            <v>DATES</v>
          </cell>
          <cell r="J98" t="str">
            <v>Egyptian</v>
          </cell>
          <cell r="K98" t="str">
            <v>Egyptian</v>
          </cell>
          <cell r="L98" t="str">
            <v>W-202</v>
          </cell>
          <cell r="M98" t="str">
            <v>Egyptian Wet Dates 10Kg</v>
          </cell>
          <cell r="N98" t="str">
            <v>CDPL</v>
          </cell>
          <cell r="O98" t="str">
            <v>Rishi</v>
          </cell>
          <cell r="P98" t="str">
            <v>Muffaddar</v>
          </cell>
          <cell r="Q98">
            <v>100</v>
          </cell>
          <cell r="R98">
            <v>2000</v>
          </cell>
          <cell r="S98">
            <v>33</v>
          </cell>
          <cell r="T98" t="str">
            <v>31-60 Days</v>
          </cell>
          <cell r="U98">
            <v>2</v>
          </cell>
          <cell r="V98" t="str">
            <v>29602000-1 to 29602000-2</v>
          </cell>
        </row>
        <row r="99">
          <cell r="E99" t="str">
            <v>127026</v>
          </cell>
          <cell r="F99">
            <v>144</v>
          </cell>
          <cell r="G99">
            <v>6</v>
          </cell>
          <cell r="H99">
            <v>864</v>
          </cell>
          <cell r="I99" t="str">
            <v>DATES</v>
          </cell>
          <cell r="J99" t="str">
            <v>Kimia</v>
          </cell>
          <cell r="K99" t="str">
            <v>Mazafati-Shrink Wrap</v>
          </cell>
          <cell r="L99" t="str">
            <v>Grade B W-202</v>
          </cell>
          <cell r="M99" t="str">
            <v>Wet Dates (Mazafati)</v>
          </cell>
          <cell r="N99" t="str">
            <v>CDPL</v>
          </cell>
          <cell r="O99" t="str">
            <v>Rishi</v>
          </cell>
          <cell r="P99" t="str">
            <v>Local</v>
          </cell>
          <cell r="Q99">
            <v>200</v>
          </cell>
          <cell r="R99">
            <v>172800</v>
          </cell>
          <cell r="S99">
            <v>33</v>
          </cell>
          <cell r="T99" t="str">
            <v>31-60 Days</v>
          </cell>
          <cell r="U99">
            <v>144</v>
          </cell>
          <cell r="V99" t="str">
            <v>29604000-1 to 29604000-144</v>
          </cell>
        </row>
        <row r="100">
          <cell r="E100" t="str">
            <v>127181</v>
          </cell>
          <cell r="F100">
            <v>1212</v>
          </cell>
          <cell r="G100">
            <v>10</v>
          </cell>
          <cell r="H100">
            <v>12120</v>
          </cell>
          <cell r="I100" t="str">
            <v>DATES</v>
          </cell>
          <cell r="J100" t="str">
            <v>Khalas</v>
          </cell>
          <cell r="K100" t="str">
            <v>Khalas-AAT Impex</v>
          </cell>
          <cell r="L100" t="str">
            <v>AA IMPEX</v>
          </cell>
          <cell r="M100" t="str">
            <v>Wet Dates Khalas</v>
          </cell>
          <cell r="N100" t="str">
            <v>CDPL</v>
          </cell>
          <cell r="O100" t="str">
            <v>Rishi</v>
          </cell>
          <cell r="P100" t="str">
            <v>Local</v>
          </cell>
          <cell r="Q100">
            <v>115</v>
          </cell>
          <cell r="R100">
            <v>1393800</v>
          </cell>
          <cell r="S100">
            <v>25</v>
          </cell>
          <cell r="T100" t="str">
            <v>0-30 Days</v>
          </cell>
          <cell r="U100">
            <v>1212</v>
          </cell>
          <cell r="V100" t="str">
            <v>20801000-511 to 20801000-1722</v>
          </cell>
        </row>
        <row r="101">
          <cell r="E101" t="str">
            <v>127182</v>
          </cell>
          <cell r="F101">
            <v>98</v>
          </cell>
          <cell r="G101">
            <v>10</v>
          </cell>
          <cell r="H101">
            <v>980</v>
          </cell>
          <cell r="I101" t="str">
            <v>DATES</v>
          </cell>
          <cell r="J101" t="str">
            <v>Seedless</v>
          </cell>
          <cell r="K101" t="str">
            <v>Khalas-Seedless-AAT</v>
          </cell>
          <cell r="L101" t="str">
            <v>AA IMPEX</v>
          </cell>
          <cell r="M101" t="str">
            <v>Wet Dates Seedless Khalas</v>
          </cell>
          <cell r="N101" t="str">
            <v>CDPL</v>
          </cell>
          <cell r="O101" t="str">
            <v>Rishi</v>
          </cell>
          <cell r="P101" t="str">
            <v>Local</v>
          </cell>
          <cell r="Q101">
            <v>135</v>
          </cell>
          <cell r="R101">
            <v>132300</v>
          </cell>
          <cell r="S101">
            <v>25</v>
          </cell>
          <cell r="T101" t="str">
            <v>0-30 Days</v>
          </cell>
          <cell r="U101">
            <v>98</v>
          </cell>
          <cell r="V101" t="str">
            <v>20802000-1 to 20802000-98</v>
          </cell>
        </row>
        <row r="102">
          <cell r="E102" t="str">
            <v>127436</v>
          </cell>
          <cell r="F102">
            <v>9</v>
          </cell>
          <cell r="G102">
            <v>10</v>
          </cell>
          <cell r="H102">
            <v>90</v>
          </cell>
          <cell r="I102" t="str">
            <v>DATES</v>
          </cell>
          <cell r="J102" t="str">
            <v>Egyptian</v>
          </cell>
          <cell r="K102" t="str">
            <v>Egyptian</v>
          </cell>
          <cell r="L102" t="str">
            <v>W202</v>
          </cell>
          <cell r="M102" t="str">
            <v>Egyptian Wet Dates 10Kg</v>
          </cell>
          <cell r="N102" t="str">
            <v>CDPL</v>
          </cell>
          <cell r="O102" t="str">
            <v>Rishi</v>
          </cell>
          <cell r="P102" t="str">
            <v>Muffaddar</v>
          </cell>
          <cell r="Q102">
            <v>100</v>
          </cell>
          <cell r="R102">
            <v>9000</v>
          </cell>
          <cell r="S102">
            <v>17</v>
          </cell>
          <cell r="T102" t="str">
            <v>0-30 Days</v>
          </cell>
          <cell r="U102">
            <v>9</v>
          </cell>
          <cell r="V102" t="str">
            <v>12001000-1 to 12001000-9</v>
          </cell>
        </row>
        <row r="103">
          <cell r="E103" t="str">
            <v>127437</v>
          </cell>
          <cell r="F103">
            <v>5</v>
          </cell>
          <cell r="G103">
            <v>10</v>
          </cell>
          <cell r="H103">
            <v>50</v>
          </cell>
          <cell r="I103" t="str">
            <v>DATES</v>
          </cell>
          <cell r="J103" t="str">
            <v>Seedless</v>
          </cell>
          <cell r="K103" t="str">
            <v>Khalas-Seedless</v>
          </cell>
          <cell r="L103" t="str">
            <v>W202</v>
          </cell>
          <cell r="M103" t="str">
            <v>Wet Dates Seedless Khalas</v>
          </cell>
          <cell r="N103" t="str">
            <v>CDPL</v>
          </cell>
          <cell r="O103" t="str">
            <v>Rishi</v>
          </cell>
          <cell r="P103" t="str">
            <v>AL BARAKAH</v>
          </cell>
          <cell r="Q103">
            <v>126</v>
          </cell>
          <cell r="R103">
            <v>6300</v>
          </cell>
          <cell r="S103">
            <v>17</v>
          </cell>
          <cell r="T103" t="str">
            <v>0-30 Days</v>
          </cell>
          <cell r="U103">
            <v>5</v>
          </cell>
          <cell r="V103" t="str">
            <v>12002000-1 to 12002000-5</v>
          </cell>
        </row>
        <row r="104">
          <cell r="E104"/>
          <cell r="F104">
            <v>500</v>
          </cell>
          <cell r="G104">
            <v>10</v>
          </cell>
          <cell r="H104">
            <v>5000</v>
          </cell>
          <cell r="I104" t="str">
            <v>DATES</v>
          </cell>
          <cell r="J104" t="str">
            <v>Fard</v>
          </cell>
          <cell r="K104"/>
          <cell r="L104"/>
          <cell r="M104" t="str">
            <v>AL BARAKAH FARD DATES STANDARD C 10KG</v>
          </cell>
          <cell r="N104" t="str">
            <v>CDPL</v>
          </cell>
          <cell r="O104" t="str">
            <v>Rishi</v>
          </cell>
          <cell r="P104" t="str">
            <v>AL BARAKAH DATES FACTORY LLC</v>
          </cell>
          <cell r="Q104"/>
          <cell r="R104">
            <v>0</v>
          </cell>
          <cell r="S104">
            <v>79</v>
          </cell>
          <cell r="T104" t="str">
            <v>61-90 Days</v>
          </cell>
          <cell r="U104">
            <v>500</v>
          </cell>
          <cell r="V104" t="str">
            <v>81747555-1 to 81747555-500</v>
          </cell>
        </row>
        <row r="105">
          <cell r="E105"/>
          <cell r="F105">
            <v>500</v>
          </cell>
          <cell r="G105">
            <v>10</v>
          </cell>
          <cell r="H105">
            <v>5000</v>
          </cell>
          <cell r="I105" t="str">
            <v>DATES</v>
          </cell>
          <cell r="J105" t="str">
            <v>Fard</v>
          </cell>
          <cell r="K105"/>
          <cell r="L105"/>
          <cell r="M105" t="str">
            <v>AL BARAKAH FARD DATES STANDARD C 10KG</v>
          </cell>
          <cell r="N105" t="str">
            <v>CDPL</v>
          </cell>
          <cell r="O105" t="str">
            <v>Rishi</v>
          </cell>
          <cell r="P105" t="str">
            <v>AL BARAKAH DATES FACTORY LLC</v>
          </cell>
          <cell r="Q105"/>
          <cell r="R105">
            <v>0</v>
          </cell>
          <cell r="S105">
            <v>79</v>
          </cell>
          <cell r="T105" t="str">
            <v>61-90 Days</v>
          </cell>
          <cell r="U105">
            <v>500</v>
          </cell>
          <cell r="V105" t="str">
            <v>85254320-1 to 85254320-500</v>
          </cell>
        </row>
        <row r="106">
          <cell r="E106"/>
          <cell r="F106">
            <v>1</v>
          </cell>
          <cell r="G106">
            <v>13.4</v>
          </cell>
          <cell r="H106">
            <v>13.4</v>
          </cell>
          <cell r="I106" t="str">
            <v>DATES</v>
          </cell>
          <cell r="J106" t="str">
            <v>Fard</v>
          </cell>
          <cell r="K106"/>
          <cell r="L106"/>
          <cell r="M106" t="str">
            <v>AL BARAKAH FARD DATES STANDARD C 10KG</v>
          </cell>
          <cell r="N106" t="str">
            <v>CDPL</v>
          </cell>
          <cell r="O106" t="str">
            <v>Rishi</v>
          </cell>
          <cell r="P106" t="str">
            <v>AL BARAKAH DATES FACTORY LLC</v>
          </cell>
          <cell r="Q106"/>
          <cell r="R106">
            <v>0</v>
          </cell>
          <cell r="S106">
            <v>79</v>
          </cell>
          <cell r="T106" t="str">
            <v>61-90 Days</v>
          </cell>
          <cell r="U106">
            <v>1</v>
          </cell>
          <cell r="V106" t="str">
            <v>85914043-501</v>
          </cell>
        </row>
        <row r="107">
          <cell r="E107"/>
          <cell r="F107">
            <v>500</v>
          </cell>
          <cell r="G107">
            <v>10</v>
          </cell>
          <cell r="H107">
            <v>5000</v>
          </cell>
          <cell r="I107" t="str">
            <v>DATES</v>
          </cell>
          <cell r="J107" t="str">
            <v>Fard</v>
          </cell>
          <cell r="K107"/>
          <cell r="L107"/>
          <cell r="M107" t="str">
            <v>AL BARAKAH FARD DATES STANDARD C 10KG</v>
          </cell>
          <cell r="N107" t="str">
            <v>CDPL</v>
          </cell>
          <cell r="O107" t="str">
            <v>Rishi</v>
          </cell>
          <cell r="P107" t="str">
            <v>AL BARAKAH DATES FACTORY LLC</v>
          </cell>
          <cell r="Q107"/>
          <cell r="R107">
            <v>0</v>
          </cell>
          <cell r="S107">
            <v>79</v>
          </cell>
          <cell r="T107" t="str">
            <v>61-90 Days</v>
          </cell>
          <cell r="U107">
            <v>500</v>
          </cell>
          <cell r="V107" t="str">
            <v>90924179-1 to 90924179-500</v>
          </cell>
        </row>
        <row r="108">
          <cell r="E108"/>
          <cell r="F108">
            <v>150</v>
          </cell>
          <cell r="G108">
            <v>10.6</v>
          </cell>
          <cell r="H108">
            <v>1590</v>
          </cell>
          <cell r="I108" t="str">
            <v>DATES</v>
          </cell>
          <cell r="J108" t="str">
            <v>Fard</v>
          </cell>
          <cell r="K108"/>
          <cell r="L108"/>
          <cell r="M108" t="str">
            <v>AL BARAKAH FARD DATES STANDARD C 10KG</v>
          </cell>
          <cell r="N108" t="str">
            <v>CDPL</v>
          </cell>
          <cell r="O108" t="str">
            <v>Rishi</v>
          </cell>
          <cell r="P108" t="str">
            <v>AL BARAKAH DATES FACTORY LLC</v>
          </cell>
          <cell r="Q108"/>
          <cell r="R108">
            <v>0</v>
          </cell>
          <cell r="S108">
            <v>79</v>
          </cell>
          <cell r="T108" t="str">
            <v>61-90 Days</v>
          </cell>
          <cell r="U108">
            <v>150</v>
          </cell>
          <cell r="V108" t="str">
            <v>92393695-1 to 92393695-150</v>
          </cell>
        </row>
        <row r="109">
          <cell r="E109"/>
          <cell r="F109">
            <v>150</v>
          </cell>
          <cell r="G109">
            <v>10</v>
          </cell>
          <cell r="H109">
            <v>1500</v>
          </cell>
          <cell r="I109" t="str">
            <v>DATES</v>
          </cell>
          <cell r="J109" t="str">
            <v>Fard</v>
          </cell>
          <cell r="K109"/>
          <cell r="L109"/>
          <cell r="M109" t="str">
            <v>AL BARAKAH FARD DATES STANDARD C 10KG</v>
          </cell>
          <cell r="N109" t="str">
            <v>CDPL</v>
          </cell>
          <cell r="O109" t="str">
            <v>Rishi</v>
          </cell>
          <cell r="P109" t="str">
            <v>AL BARAKAH DATES FACTORY LLC</v>
          </cell>
          <cell r="Q109"/>
          <cell r="R109">
            <v>0</v>
          </cell>
          <cell r="S109">
            <v>79</v>
          </cell>
          <cell r="T109" t="str">
            <v>61-90 Days</v>
          </cell>
          <cell r="U109">
            <v>150</v>
          </cell>
          <cell r="V109" t="str">
            <v>95069072-1 to 95069072-150</v>
          </cell>
        </row>
        <row r="110">
          <cell r="E110"/>
          <cell r="F110">
            <v>150</v>
          </cell>
          <cell r="G110">
            <v>10</v>
          </cell>
          <cell r="H110">
            <v>1500</v>
          </cell>
          <cell r="I110" t="str">
            <v>DATES</v>
          </cell>
          <cell r="J110" t="str">
            <v>Fard</v>
          </cell>
          <cell r="K110"/>
          <cell r="L110"/>
          <cell r="M110" t="str">
            <v>AL BARAKAH FARD DATES STANDARD C 10KG</v>
          </cell>
          <cell r="N110" t="str">
            <v>CDPL</v>
          </cell>
          <cell r="O110" t="str">
            <v>Rishi</v>
          </cell>
          <cell r="P110" t="str">
            <v>AL BARAKAH DATES FACTORY LLC</v>
          </cell>
          <cell r="Q110"/>
          <cell r="R110">
            <v>0</v>
          </cell>
          <cell r="S110">
            <v>79</v>
          </cell>
          <cell r="T110" t="str">
            <v>61-90 Days</v>
          </cell>
          <cell r="U110">
            <v>150</v>
          </cell>
          <cell r="V110" t="str">
            <v>96635683-1 to 96635683-150</v>
          </cell>
        </row>
        <row r="111">
          <cell r="E111"/>
          <cell r="F111">
            <v>50</v>
          </cell>
          <cell r="G111">
            <v>10.6</v>
          </cell>
          <cell r="H111">
            <v>530</v>
          </cell>
          <cell r="I111" t="str">
            <v>DATES</v>
          </cell>
          <cell r="J111" t="str">
            <v>Fard</v>
          </cell>
          <cell r="K111"/>
          <cell r="L111"/>
          <cell r="M111" t="str">
            <v>AL BARAKAH FARD DATES STANDARD C 10KG</v>
          </cell>
          <cell r="N111" t="str">
            <v>CDPL</v>
          </cell>
          <cell r="O111" t="str">
            <v>Rishi</v>
          </cell>
          <cell r="P111" t="str">
            <v>AL BARAKAH DATES FACTORY LLC</v>
          </cell>
          <cell r="Q111"/>
          <cell r="R111">
            <v>0</v>
          </cell>
          <cell r="S111">
            <v>79</v>
          </cell>
          <cell r="T111" t="str">
            <v>61-90 Days</v>
          </cell>
          <cell r="U111">
            <v>50</v>
          </cell>
          <cell r="V111" t="str">
            <v>97623739-1 to 97623739-50</v>
          </cell>
        </row>
        <row r="112">
          <cell r="E112"/>
          <cell r="F112">
            <v>200</v>
          </cell>
          <cell r="G112">
            <v>10</v>
          </cell>
          <cell r="H112">
            <v>2000</v>
          </cell>
          <cell r="I112" t="str">
            <v>DATES</v>
          </cell>
          <cell r="J112" t="str">
            <v>Fard</v>
          </cell>
          <cell r="K112"/>
          <cell r="L112"/>
          <cell r="M112" t="str">
            <v>AL BARAKAH FARD DATES STANDARD C 10KG</v>
          </cell>
          <cell r="N112" t="str">
            <v>CDPL</v>
          </cell>
          <cell r="O112" t="str">
            <v>Rishi</v>
          </cell>
          <cell r="P112" t="str">
            <v>AL BARAKAH DATES FACTORY LLC</v>
          </cell>
          <cell r="Q112"/>
          <cell r="R112">
            <v>0</v>
          </cell>
          <cell r="S112">
            <v>79</v>
          </cell>
          <cell r="T112" t="str">
            <v>61-90 Days</v>
          </cell>
          <cell r="U112">
            <v>200</v>
          </cell>
          <cell r="V112" t="str">
            <v>99120269-1 to 99120269-200</v>
          </cell>
        </row>
        <row r="113">
          <cell r="E113"/>
          <cell r="F113">
            <v>48</v>
          </cell>
          <cell r="G113">
            <v>10.6</v>
          </cell>
          <cell r="H113">
            <v>508.8</v>
          </cell>
          <cell r="I113" t="str">
            <v>DATES</v>
          </cell>
          <cell r="J113" t="str">
            <v>Fard</v>
          </cell>
          <cell r="K113"/>
          <cell r="L113"/>
          <cell r="M113" t="str">
            <v>AL BARAKAH FARD DATES STANDARD C 10KG</v>
          </cell>
          <cell r="N113" t="str">
            <v>CDPL</v>
          </cell>
          <cell r="O113" t="str">
            <v>Rishi</v>
          </cell>
          <cell r="P113" t="str">
            <v>AL BARAKAH DATES FACTORY LLC</v>
          </cell>
          <cell r="Q113"/>
          <cell r="R113">
            <v>0</v>
          </cell>
          <cell r="S113">
            <v>79</v>
          </cell>
          <cell r="T113" t="str">
            <v>61-90 Days</v>
          </cell>
          <cell r="U113">
            <v>48</v>
          </cell>
          <cell r="V113" t="str">
            <v>99991343-1 to 99991343-48</v>
          </cell>
        </row>
        <row r="114">
          <cell r="E114"/>
          <cell r="F114">
            <v>1</v>
          </cell>
          <cell r="G114">
            <v>5.7</v>
          </cell>
          <cell r="H114">
            <v>5.7</v>
          </cell>
          <cell r="I114" t="str">
            <v>DATES</v>
          </cell>
          <cell r="J114" t="str">
            <v>Fard</v>
          </cell>
          <cell r="K114"/>
          <cell r="L114"/>
          <cell r="M114" t="str">
            <v>AL BARAKAH FARD DATES STANDARD C 10KG</v>
          </cell>
          <cell r="N114" t="str">
            <v>CDPL</v>
          </cell>
          <cell r="O114" t="str">
            <v>Rishi</v>
          </cell>
          <cell r="P114" t="str">
            <v>AL BARAKAH DATES FACTORY LLC</v>
          </cell>
          <cell r="Q114"/>
          <cell r="R114">
            <v>0</v>
          </cell>
          <cell r="S114">
            <v>79</v>
          </cell>
          <cell r="T114" t="str">
            <v>61-90 Days</v>
          </cell>
          <cell r="U114">
            <v>1</v>
          </cell>
          <cell r="V114" t="str">
            <v>00361664-111</v>
          </cell>
        </row>
        <row r="115">
          <cell r="E115"/>
          <cell r="F115">
            <v>1</v>
          </cell>
          <cell r="G115">
            <v>6.4</v>
          </cell>
          <cell r="H115">
            <v>6.4</v>
          </cell>
          <cell r="I115" t="str">
            <v>DATES</v>
          </cell>
          <cell r="J115" t="str">
            <v>Fard</v>
          </cell>
          <cell r="K115"/>
          <cell r="L115"/>
          <cell r="M115" t="str">
            <v>AL BARAKAH FARD DATES STANDARD C 10KG</v>
          </cell>
          <cell r="N115" t="str">
            <v>CDPL</v>
          </cell>
          <cell r="O115" t="str">
            <v>Rishi</v>
          </cell>
          <cell r="P115" t="str">
            <v>AL BARAKAH DATES FACTORY LLC</v>
          </cell>
          <cell r="Q115"/>
          <cell r="R115">
            <v>0</v>
          </cell>
          <cell r="S115">
            <v>79</v>
          </cell>
          <cell r="T115" t="str">
            <v>61-90 Days</v>
          </cell>
          <cell r="U115">
            <v>1</v>
          </cell>
          <cell r="V115" t="str">
            <v>00401893-112</v>
          </cell>
        </row>
        <row r="116">
          <cell r="E116"/>
          <cell r="F116">
            <v>110</v>
          </cell>
          <cell r="G116">
            <v>10</v>
          </cell>
          <cell r="H116">
            <v>1100</v>
          </cell>
          <cell r="I116" t="str">
            <v>DATES</v>
          </cell>
          <cell r="J116" t="str">
            <v>Fard</v>
          </cell>
          <cell r="K116"/>
          <cell r="L116"/>
          <cell r="M116" t="str">
            <v>AL BARAKAH FARD DATES STANDARD C 10KG</v>
          </cell>
          <cell r="N116" t="str">
            <v>CDPL</v>
          </cell>
          <cell r="O116" t="str">
            <v>Rishi</v>
          </cell>
          <cell r="P116" t="str">
            <v>AL BARAKAH DATES FACTORY LLC</v>
          </cell>
          <cell r="Q116"/>
          <cell r="R116">
            <v>0</v>
          </cell>
          <cell r="S116">
            <v>79</v>
          </cell>
          <cell r="T116" t="str">
            <v>61-90 Days</v>
          </cell>
          <cell r="U116">
            <v>110</v>
          </cell>
          <cell r="V116" t="str">
            <v>00215763-1 to 00215763-110</v>
          </cell>
        </row>
        <row r="117">
          <cell r="E117"/>
          <cell r="F117">
            <v>11</v>
          </cell>
          <cell r="G117">
            <v>10.4</v>
          </cell>
          <cell r="H117">
            <v>114.4</v>
          </cell>
          <cell r="I117" t="str">
            <v>DATES</v>
          </cell>
          <cell r="J117" t="str">
            <v>Fard</v>
          </cell>
          <cell r="K117"/>
          <cell r="L117"/>
          <cell r="M117" t="str">
            <v>AL BARAKAH FARD DATES STANDARD C 10KG</v>
          </cell>
          <cell r="N117" t="str">
            <v>CDPL</v>
          </cell>
          <cell r="O117" t="str">
            <v>Rishi</v>
          </cell>
          <cell r="P117" t="str">
            <v>AL BARAKAH DATES FACTORY LLC</v>
          </cell>
          <cell r="Q117"/>
          <cell r="R117">
            <v>0</v>
          </cell>
          <cell r="S117">
            <v>79</v>
          </cell>
          <cell r="T117" t="str">
            <v>61-90 Days</v>
          </cell>
          <cell r="U117">
            <v>11</v>
          </cell>
          <cell r="V117" t="str">
            <v>84139046-6, 84142984-7, 84149762-8, 84155653-9, 84160628-10, 84167494-11, 84171377-12, 84176365-13, 84181083-14, 84184611-15, 84187855-16</v>
          </cell>
        </row>
        <row r="118">
          <cell r="E118"/>
          <cell r="F118">
            <v>21</v>
          </cell>
          <cell r="G118">
            <v>10.5</v>
          </cell>
          <cell r="H118">
            <v>220.5</v>
          </cell>
          <cell r="I118" t="str">
            <v>DATES</v>
          </cell>
          <cell r="J118" t="str">
            <v>Fard</v>
          </cell>
          <cell r="K118"/>
          <cell r="L118"/>
          <cell r="M118" t="str">
            <v>AL BARAKAH FARD DATES STANDARD C 10KG</v>
          </cell>
          <cell r="N118" t="str">
            <v>CDPL</v>
          </cell>
          <cell r="O118" t="str">
            <v>Rishi</v>
          </cell>
          <cell r="P118" t="str">
            <v>AL BARAKAH DATES FACTORY LLC</v>
          </cell>
          <cell r="Q118"/>
          <cell r="R118">
            <v>0</v>
          </cell>
          <cell r="S118">
            <v>79</v>
          </cell>
          <cell r="T118" t="str">
            <v>61-90 Days</v>
          </cell>
          <cell r="U118">
            <v>21</v>
          </cell>
          <cell r="V118" t="str">
            <v>84331677-18, 84340968-19, 84356305-20, 84370914-21, 84380672-22, 84389187-23, 84399315-24, 84410195-25, 84421342-26, 84430753-27, 84445053-28, 84686431-30, 84690516-31, 84693858-32, 84697296-33, 84700292-34, 84704594-35, 84708573-36, 84711896-37, 84715371-38, 84719558-39</v>
          </cell>
        </row>
        <row r="119">
          <cell r="E119"/>
          <cell r="F119">
            <v>1</v>
          </cell>
          <cell r="G119">
            <v>10.8</v>
          </cell>
          <cell r="H119">
            <v>10.8</v>
          </cell>
          <cell r="I119" t="str">
            <v>DATES</v>
          </cell>
          <cell r="J119" t="str">
            <v>Fard</v>
          </cell>
          <cell r="K119"/>
          <cell r="L119"/>
          <cell r="M119" t="str">
            <v>AL BARAKAH FARD DATES STANDARD C 10KG</v>
          </cell>
          <cell r="N119" t="str">
            <v>CDPL</v>
          </cell>
          <cell r="O119" t="str">
            <v>Rishi</v>
          </cell>
          <cell r="P119" t="str">
            <v>AL BARAKAH DATES FACTORY LLC</v>
          </cell>
          <cell r="Q119"/>
          <cell r="R119">
            <v>0</v>
          </cell>
          <cell r="S119">
            <v>79</v>
          </cell>
          <cell r="T119" t="str">
            <v>61-90 Days</v>
          </cell>
          <cell r="U119">
            <v>1</v>
          </cell>
          <cell r="V119" t="str">
            <v>84203576-17</v>
          </cell>
        </row>
        <row r="120">
          <cell r="E120"/>
          <cell r="F120">
            <v>5</v>
          </cell>
          <cell r="G120">
            <v>10.9</v>
          </cell>
          <cell r="H120">
            <v>54.5</v>
          </cell>
          <cell r="I120" t="str">
            <v>DATES</v>
          </cell>
          <cell r="J120" t="str">
            <v>Fard</v>
          </cell>
          <cell r="K120"/>
          <cell r="L120"/>
          <cell r="M120" t="str">
            <v>AL BARAKAH FARD DATES STANDARD C 10KG</v>
          </cell>
          <cell r="N120" t="str">
            <v>CDPL</v>
          </cell>
          <cell r="O120" t="str">
            <v>Rishi</v>
          </cell>
          <cell r="P120" t="str">
            <v>AL BARAKAH DATES FACTORY LLC</v>
          </cell>
          <cell r="Q120"/>
          <cell r="R120">
            <v>0</v>
          </cell>
          <cell r="S120">
            <v>79</v>
          </cell>
          <cell r="T120" t="str">
            <v>61-90 Days</v>
          </cell>
          <cell r="U120">
            <v>5</v>
          </cell>
          <cell r="V120" t="str">
            <v>84010086-1 to 84010086-5</v>
          </cell>
        </row>
        <row r="121">
          <cell r="E121"/>
          <cell r="F121">
            <v>1</v>
          </cell>
          <cell r="G121">
            <v>11.8</v>
          </cell>
          <cell r="H121">
            <v>11.8</v>
          </cell>
          <cell r="I121" t="str">
            <v>DATES</v>
          </cell>
          <cell r="J121" t="str">
            <v>Fard</v>
          </cell>
          <cell r="K121"/>
          <cell r="L121"/>
          <cell r="M121" t="str">
            <v>AL BARAKAH FARD DATES STANDARD C 10KG</v>
          </cell>
          <cell r="N121" t="str">
            <v>CDPL</v>
          </cell>
          <cell r="O121" t="str">
            <v>Rishi</v>
          </cell>
          <cell r="P121" t="str">
            <v>AL BARAKAH DATES FACTORY LLC</v>
          </cell>
          <cell r="Q121"/>
          <cell r="R121">
            <v>0</v>
          </cell>
          <cell r="S121">
            <v>79</v>
          </cell>
          <cell r="T121" t="str">
            <v>61-90 Days</v>
          </cell>
          <cell r="U121">
            <v>1</v>
          </cell>
          <cell r="V121" t="str">
            <v>84496991-29</v>
          </cell>
        </row>
        <row r="122">
          <cell r="E122" t="str">
            <v>110715</v>
          </cell>
          <cell r="F122">
            <v>11</v>
          </cell>
          <cell r="G122">
            <v>10</v>
          </cell>
          <cell r="H122">
            <v>110</v>
          </cell>
          <cell r="I122" t="str">
            <v>DATES</v>
          </cell>
          <cell r="J122" t="str">
            <v>Diced</v>
          </cell>
          <cell r="K122" t="str">
            <v>Chopped Date</v>
          </cell>
          <cell r="L122" t="str">
            <v>AL BARAKAH</v>
          </cell>
          <cell r="M122" t="str">
            <v>AL BARAKAH CHOPPED DATES</v>
          </cell>
          <cell r="N122" t="str">
            <v>CDPL</v>
          </cell>
          <cell r="O122" t="str">
            <v>Savla</v>
          </cell>
          <cell r="P122" t="str">
            <v>AL BARAKAH</v>
          </cell>
          <cell r="Q122">
            <v>110</v>
          </cell>
          <cell r="R122">
            <v>12100</v>
          </cell>
          <cell r="S122">
            <v>604</v>
          </cell>
          <cell r="T122" t="str">
            <v>366-730 Days</v>
          </cell>
          <cell r="U122">
            <v>11</v>
          </cell>
          <cell r="V122" t="str">
            <v>90514000-1 to 90514000-11</v>
          </cell>
        </row>
        <row r="123">
          <cell r="E123" t="str">
            <v>123525</v>
          </cell>
          <cell r="F123">
            <v>918</v>
          </cell>
          <cell r="G123">
            <v>10</v>
          </cell>
          <cell r="H123">
            <v>9180</v>
          </cell>
          <cell r="I123" t="str">
            <v>DATES</v>
          </cell>
          <cell r="J123" t="str">
            <v>Powder</v>
          </cell>
          <cell r="K123" t="str">
            <v>V2</v>
          </cell>
          <cell r="L123" t="str">
            <v>AL BARAKAH</v>
          </cell>
          <cell r="M123" t="str">
            <v>10KG AL BARAKAH DATE POWDER V2</v>
          </cell>
          <cell r="N123" t="str">
            <v>CDPL</v>
          </cell>
          <cell r="O123" t="str">
            <v>Savla</v>
          </cell>
          <cell r="P123" t="str">
            <v>AL BARAKAH</v>
          </cell>
          <cell r="Q123">
            <v>215</v>
          </cell>
          <cell r="R123">
            <v>1973700</v>
          </cell>
          <cell r="S123">
            <v>530</v>
          </cell>
          <cell r="T123" t="str">
            <v>366-730 Days</v>
          </cell>
          <cell r="U123">
            <v>918</v>
          </cell>
          <cell r="V123" t="str">
            <v>90518000-1 to 90518000-918</v>
          </cell>
        </row>
        <row r="124">
          <cell r="E124" t="str">
            <v>123526</v>
          </cell>
          <cell r="F124">
            <v>60</v>
          </cell>
          <cell r="G124">
            <v>10</v>
          </cell>
          <cell r="H124">
            <v>600</v>
          </cell>
          <cell r="I124" t="str">
            <v>DATES</v>
          </cell>
          <cell r="J124" t="str">
            <v>Diced</v>
          </cell>
          <cell r="K124" t="str">
            <v>Crushed Date</v>
          </cell>
          <cell r="L124" t="str">
            <v>AL BARAKAH</v>
          </cell>
          <cell r="M124" t="str">
            <v>AL BARAKAH CRUSHED DATES 10KG</v>
          </cell>
          <cell r="N124" t="str">
            <v>CDPL</v>
          </cell>
          <cell r="O124" t="str">
            <v>Savla</v>
          </cell>
          <cell r="P124" t="str">
            <v>AL BARAKAH</v>
          </cell>
          <cell r="Q124">
            <v>116.6</v>
          </cell>
          <cell r="R124">
            <v>69960</v>
          </cell>
          <cell r="S124">
            <v>530</v>
          </cell>
          <cell r="T124" t="str">
            <v>366-730 Days</v>
          </cell>
          <cell r="U124">
            <v>60</v>
          </cell>
          <cell r="V124" t="str">
            <v>90519000-1 to 90519000-60</v>
          </cell>
        </row>
        <row r="125">
          <cell r="E125" t="str">
            <v>133830</v>
          </cell>
          <cell r="F125">
            <v>119</v>
          </cell>
          <cell r="G125">
            <v>8</v>
          </cell>
          <cell r="H125">
            <v>952</v>
          </cell>
          <cell r="I125" t="str">
            <v>DATES</v>
          </cell>
          <cell r="J125" t="str">
            <v>Medjoul-Medium</v>
          </cell>
          <cell r="K125" t="str">
            <v>Medjoul-Large</v>
          </cell>
          <cell r="L125" t="str">
            <v>Large</v>
          </cell>
          <cell r="M125" t="str">
            <v>King Solomon Medjoul Dates Medium 500 Gm</v>
          </cell>
          <cell r="N125" t="str">
            <v>CDPL</v>
          </cell>
          <cell r="O125" t="str">
            <v>Savla</v>
          </cell>
          <cell r="P125" t="str">
            <v>Hadiklaim</v>
          </cell>
          <cell r="Q125">
            <v>817</v>
          </cell>
          <cell r="R125">
            <v>777784</v>
          </cell>
          <cell r="S125">
            <v>452</v>
          </cell>
          <cell r="T125" t="str">
            <v>366-730 Days</v>
          </cell>
          <cell r="U125">
            <v>119</v>
          </cell>
          <cell r="V125" t="str">
            <v>90527000-1 to 90527000-119</v>
          </cell>
        </row>
        <row r="126">
          <cell r="E126" t="str">
            <v>138382</v>
          </cell>
          <cell r="F126">
            <v>3</v>
          </cell>
          <cell r="G126">
            <v>10</v>
          </cell>
          <cell r="H126">
            <v>30</v>
          </cell>
          <cell r="I126" t="str">
            <v>DATES</v>
          </cell>
          <cell r="J126" t="str">
            <v>Diced</v>
          </cell>
          <cell r="K126" t="str">
            <v>Crushed Date</v>
          </cell>
          <cell r="L126" t="str">
            <v>AL BARAKAH</v>
          </cell>
          <cell r="M126" t="str">
            <v>AL BARAKAH CRUSHED DATES 10KG</v>
          </cell>
          <cell r="N126" t="str">
            <v>CDPL</v>
          </cell>
          <cell r="O126" t="str">
            <v>Savla</v>
          </cell>
          <cell r="P126" t="str">
            <v>AL BARAKAH</v>
          </cell>
          <cell r="Q126">
            <v>127</v>
          </cell>
          <cell r="R126">
            <v>3810</v>
          </cell>
          <cell r="S126">
            <v>412</v>
          </cell>
          <cell r="T126" t="str">
            <v>366-730 Days</v>
          </cell>
          <cell r="U126">
            <v>3</v>
          </cell>
          <cell r="V126" t="str">
            <v>90542000-1 to 90542000-3</v>
          </cell>
        </row>
        <row r="127">
          <cell r="E127" t="str">
            <v>142972</v>
          </cell>
          <cell r="F127">
            <v>50</v>
          </cell>
          <cell r="G127">
            <v>10</v>
          </cell>
          <cell r="H127">
            <v>500</v>
          </cell>
          <cell r="I127" t="str">
            <v>DATES</v>
          </cell>
          <cell r="J127" t="str">
            <v>Powder</v>
          </cell>
          <cell r="K127" t="str">
            <v>V1</v>
          </cell>
          <cell r="L127" t="str">
            <v>AL BARAKAH</v>
          </cell>
          <cell r="M127" t="str">
            <v>10KG AL BARAKAH DATE POWDER V1</v>
          </cell>
          <cell r="N127" t="str">
            <v>CDPL</v>
          </cell>
          <cell r="O127" t="str">
            <v>Savla</v>
          </cell>
          <cell r="P127" t="str">
            <v>AL BARAKAH</v>
          </cell>
          <cell r="Q127">
            <v>270</v>
          </cell>
          <cell r="R127">
            <v>135000</v>
          </cell>
          <cell r="S127">
            <v>373</v>
          </cell>
          <cell r="T127" t="str">
            <v>366-730 Days</v>
          </cell>
          <cell r="U127">
            <v>50</v>
          </cell>
          <cell r="V127" t="str">
            <v>90544000-1 to 90544000-50</v>
          </cell>
        </row>
        <row r="128">
          <cell r="E128" t="str">
            <v>147739</v>
          </cell>
          <cell r="F128">
            <v>32</v>
          </cell>
          <cell r="G128">
            <v>10</v>
          </cell>
          <cell r="H128">
            <v>320</v>
          </cell>
          <cell r="I128" t="str">
            <v>DATES</v>
          </cell>
          <cell r="J128" t="str">
            <v>Powder</v>
          </cell>
          <cell r="K128" t="str">
            <v>V1</v>
          </cell>
          <cell r="L128" t="str">
            <v>AL BARAKAH</v>
          </cell>
          <cell r="M128" t="str">
            <v>10KG AL BARAKAH DATE POWDER V1</v>
          </cell>
          <cell r="N128" t="str">
            <v>CDPL</v>
          </cell>
          <cell r="O128" t="str">
            <v>Savla</v>
          </cell>
          <cell r="P128" t="str">
            <v>AL BARAKAH</v>
          </cell>
          <cell r="Q128">
            <v>270</v>
          </cell>
          <cell r="R128">
            <v>86400</v>
          </cell>
          <cell r="S128">
            <v>329</v>
          </cell>
          <cell r="T128" t="str">
            <v>181-365 Days</v>
          </cell>
          <cell r="U128">
            <v>32</v>
          </cell>
          <cell r="V128" t="str">
            <v>90545000-1 to 90545000-32</v>
          </cell>
        </row>
        <row r="129">
          <cell r="E129" t="str">
            <v>156985</v>
          </cell>
          <cell r="F129">
            <v>798</v>
          </cell>
          <cell r="G129">
            <v>10</v>
          </cell>
          <cell r="H129">
            <v>7980</v>
          </cell>
          <cell r="I129" t="str">
            <v>DATES</v>
          </cell>
          <cell r="J129" t="str">
            <v>Powder</v>
          </cell>
          <cell r="K129" t="str">
            <v>V1</v>
          </cell>
          <cell r="L129" t="str">
            <v>AL BARAKAH</v>
          </cell>
          <cell r="M129" t="str">
            <v>10KG AL BARAKAH DATE POWDER V1</v>
          </cell>
          <cell r="N129" t="str">
            <v>CDPL</v>
          </cell>
          <cell r="O129" t="str">
            <v>Savla</v>
          </cell>
          <cell r="P129" t="str">
            <v>AL BARAKAH</v>
          </cell>
          <cell r="Q129">
            <v>280</v>
          </cell>
          <cell r="R129">
            <v>2234400</v>
          </cell>
          <cell r="S129">
            <v>242</v>
          </cell>
          <cell r="T129" t="str">
            <v>181-365 Days</v>
          </cell>
          <cell r="U129">
            <v>798</v>
          </cell>
          <cell r="V129" t="str">
            <v>90546000-402 to 90546000-999, 90546000-1002 to 90546000-1201</v>
          </cell>
        </row>
        <row r="130">
          <cell r="E130" t="str">
            <v>164985</v>
          </cell>
          <cell r="F130">
            <v>342</v>
          </cell>
          <cell r="G130">
            <v>6.8</v>
          </cell>
          <cell r="H130">
            <v>2325.6</v>
          </cell>
          <cell r="I130" t="str">
            <v>DATES</v>
          </cell>
          <cell r="J130" t="str">
            <v>Kimia</v>
          </cell>
          <cell r="K130" t="str">
            <v>Mazafati</v>
          </cell>
          <cell r="L130" t="str">
            <v>Local</v>
          </cell>
          <cell r="M130" t="str">
            <v>Wet Dates (Mazafati)</v>
          </cell>
          <cell r="N130" t="str">
            <v>CDPL</v>
          </cell>
          <cell r="O130" t="str">
            <v>Savla</v>
          </cell>
          <cell r="P130" t="str">
            <v>Local</v>
          </cell>
          <cell r="Q130">
            <v>200</v>
          </cell>
          <cell r="R130">
            <v>465120</v>
          </cell>
          <cell r="S130">
            <v>201</v>
          </cell>
          <cell r="T130" t="str">
            <v>181-365 Days</v>
          </cell>
          <cell r="U130">
            <v>342</v>
          </cell>
          <cell r="V130" t="str">
            <v>90548000-1 to 90548000-342</v>
          </cell>
        </row>
        <row r="131">
          <cell r="E131" t="str">
            <v>168714</v>
          </cell>
          <cell r="F131">
            <v>9</v>
          </cell>
          <cell r="G131">
            <v>4.8</v>
          </cell>
          <cell r="H131">
            <v>43.2</v>
          </cell>
          <cell r="I131" t="str">
            <v>DATES</v>
          </cell>
          <cell r="J131" t="str">
            <v>Syrup</v>
          </cell>
          <cell r="K131" t="str">
            <v>400g x 12</v>
          </cell>
          <cell r="L131" t="str">
            <v>AL BARAKAH</v>
          </cell>
          <cell r="M131" t="str">
            <v>AL BARAKAH DATES SYRUP 400G</v>
          </cell>
          <cell r="N131" t="str">
            <v>CDPL</v>
          </cell>
          <cell r="O131" t="str">
            <v>Savla</v>
          </cell>
          <cell r="P131" t="str">
            <v>AL BARAKAH</v>
          </cell>
          <cell r="Q131">
            <v>190</v>
          </cell>
          <cell r="R131">
            <v>8208</v>
          </cell>
          <cell r="S131">
            <v>125</v>
          </cell>
          <cell r="T131" t="str">
            <v>91-180 Days</v>
          </cell>
          <cell r="U131">
            <v>9</v>
          </cell>
          <cell r="V131" t="str">
            <v>90561000-1 to 90561000-9</v>
          </cell>
        </row>
        <row r="132">
          <cell r="E132" t="str">
            <v>176443</v>
          </cell>
          <cell r="F132">
            <v>3</v>
          </cell>
          <cell r="G132">
            <v>25</v>
          </cell>
          <cell r="H132">
            <v>75</v>
          </cell>
          <cell r="I132" t="str">
            <v>DATES</v>
          </cell>
          <cell r="J132" t="str">
            <v>Syrup</v>
          </cell>
          <cell r="K132" t="str">
            <v>Bucket 25Kg</v>
          </cell>
          <cell r="L132" t="str">
            <v>AL BARAKAH</v>
          </cell>
          <cell r="M132" t="str">
            <v>25KG AL BARAKAH DATE SYRUP V1</v>
          </cell>
          <cell r="N132" t="str">
            <v>CDPL</v>
          </cell>
          <cell r="O132" t="str">
            <v>Savla</v>
          </cell>
          <cell r="P132" t="str">
            <v>AL BARAKAH</v>
          </cell>
          <cell r="Q132">
            <v>109.8</v>
          </cell>
          <cell r="R132">
            <v>8235</v>
          </cell>
          <cell r="S132">
            <v>139</v>
          </cell>
          <cell r="T132" t="str">
            <v>91-180 Days</v>
          </cell>
          <cell r="U132">
            <v>3</v>
          </cell>
          <cell r="V132" t="str">
            <v>90553000-1 to 90553000-3</v>
          </cell>
        </row>
        <row r="133">
          <cell r="E133" t="str">
            <v>186079</v>
          </cell>
          <cell r="F133">
            <v>3416</v>
          </cell>
          <cell r="G133">
            <v>6.5119999999999996</v>
          </cell>
          <cell r="H133">
            <v>22238.16</v>
          </cell>
          <cell r="I133" t="str">
            <v>DATES</v>
          </cell>
          <cell r="J133" t="str">
            <v>Kimia</v>
          </cell>
          <cell r="K133" t="str">
            <v>Mazafati</v>
          </cell>
          <cell r="L133" t="str">
            <v>AA IMPEX</v>
          </cell>
          <cell r="M133" t="str">
            <v>Wet Dates (Mazafati)</v>
          </cell>
          <cell r="N133" t="str">
            <v>CDPL</v>
          </cell>
          <cell r="O133" t="str">
            <v>Savla</v>
          </cell>
          <cell r="P133" t="str">
            <v>Local</v>
          </cell>
          <cell r="Q133">
            <v>215</v>
          </cell>
          <cell r="R133">
            <v>4782673.28</v>
          </cell>
          <cell r="S133">
            <v>55</v>
          </cell>
          <cell r="T133" t="str">
            <v>31-60 Days</v>
          </cell>
          <cell r="U133">
            <v>3416</v>
          </cell>
          <cell r="V133" t="str">
            <v>28802000-2 to 28802000-2450, 28803000-1 to 28803000-967</v>
          </cell>
        </row>
        <row r="134">
          <cell r="E134" t="str">
            <v>2154</v>
          </cell>
          <cell r="F134">
            <v>1800</v>
          </cell>
          <cell r="G134">
            <v>6.77</v>
          </cell>
          <cell r="H134">
            <v>12186</v>
          </cell>
          <cell r="I134" t="str">
            <v>DATES</v>
          </cell>
          <cell r="J134" t="str">
            <v>Kimia</v>
          </cell>
          <cell r="K134" t="str">
            <v>Mazafati</v>
          </cell>
          <cell r="L134" t="str">
            <v>AA IMPEX</v>
          </cell>
          <cell r="M134" t="str">
            <v>Wet Dates (Mazafati)</v>
          </cell>
          <cell r="N134" t="str">
            <v>CDPL</v>
          </cell>
          <cell r="O134" t="str">
            <v>Savla</v>
          </cell>
          <cell r="P134" t="str">
            <v>Local</v>
          </cell>
          <cell r="Q134">
            <v>215</v>
          </cell>
          <cell r="R134">
            <v>2619990</v>
          </cell>
          <cell r="S134">
            <v>43</v>
          </cell>
          <cell r="T134" t="str">
            <v>31-60 Days</v>
          </cell>
          <cell r="U134">
            <v>1800</v>
          </cell>
          <cell r="V134" t="str">
            <v>65601000-1 to 65601000-1800</v>
          </cell>
        </row>
        <row r="135">
          <cell r="E135" t="str">
            <v>3962</v>
          </cell>
          <cell r="F135">
            <v>904</v>
          </cell>
          <cell r="G135">
            <v>5</v>
          </cell>
          <cell r="H135">
            <v>4520</v>
          </cell>
          <cell r="I135" t="str">
            <v>DATES</v>
          </cell>
          <cell r="J135" t="str">
            <v>Medjoul-Medium</v>
          </cell>
          <cell r="K135" t="str">
            <v>Medjoul-Medium Local</v>
          </cell>
          <cell r="L135" t="str">
            <v>Premium Harvest</v>
          </cell>
          <cell r="M135" t="str">
            <v>WET DATES MEDJOUL BULK MEDIUM(5)</v>
          </cell>
          <cell r="N135" t="str">
            <v>CDPL</v>
          </cell>
          <cell r="O135" t="str">
            <v>Savla</v>
          </cell>
          <cell r="P135" t="str">
            <v>Local</v>
          </cell>
          <cell r="Q135">
            <v>765</v>
          </cell>
          <cell r="R135">
            <v>3457800</v>
          </cell>
          <cell r="S135">
            <v>31</v>
          </cell>
          <cell r="T135" t="str">
            <v>31-60 Days</v>
          </cell>
          <cell r="U135">
            <v>904</v>
          </cell>
          <cell r="V135" t="str">
            <v>25648118-2 to 25648118-905</v>
          </cell>
        </row>
        <row r="136">
          <cell r="E136" t="str">
            <v>3963</v>
          </cell>
          <cell r="F136">
            <v>936</v>
          </cell>
          <cell r="G136">
            <v>5</v>
          </cell>
          <cell r="H136">
            <v>4680</v>
          </cell>
          <cell r="I136" t="str">
            <v>DATES</v>
          </cell>
          <cell r="J136" t="str">
            <v>Medjoul-Junior</v>
          </cell>
          <cell r="K136" t="str">
            <v>Medjoul-Mini Local</v>
          </cell>
          <cell r="L136" t="str">
            <v>Premium Harvest</v>
          </cell>
          <cell r="M136" t="str">
            <v>WET DATES MEDJOUL BULK MINI (5)</v>
          </cell>
          <cell r="N136" t="str">
            <v>CDPL</v>
          </cell>
          <cell r="O136" t="str">
            <v>Savla</v>
          </cell>
          <cell r="P136" t="str">
            <v>Local</v>
          </cell>
          <cell r="Q136">
            <v>677.14</v>
          </cell>
          <cell r="R136">
            <v>3169015.2</v>
          </cell>
          <cell r="S136">
            <v>31</v>
          </cell>
          <cell r="T136" t="str">
            <v>31-60 Days</v>
          </cell>
          <cell r="U136">
            <v>936</v>
          </cell>
          <cell r="V136" t="str">
            <v>34760065-2 to 34760065-9, 34760065-11 to 34760065-938</v>
          </cell>
        </row>
        <row r="137">
          <cell r="E137" t="str">
            <v>4004</v>
          </cell>
          <cell r="F137">
            <v>4</v>
          </cell>
          <cell r="G137">
            <v>5</v>
          </cell>
          <cell r="H137">
            <v>20</v>
          </cell>
          <cell r="I137" t="str">
            <v>DATES</v>
          </cell>
          <cell r="J137" t="str">
            <v>Medjoul-Junior</v>
          </cell>
          <cell r="K137" t="str">
            <v>Medjoul-Mini Local</v>
          </cell>
          <cell r="L137" t="str">
            <v>Open Box</v>
          </cell>
          <cell r="M137" t="str">
            <v>WET DATES MEDJOUL BULK MINI (5)</v>
          </cell>
          <cell r="N137" t="str">
            <v>CDPL</v>
          </cell>
          <cell r="O137" t="str">
            <v>Savla</v>
          </cell>
          <cell r="P137" t="str">
            <v>Local</v>
          </cell>
          <cell r="Q137">
            <v>677.14</v>
          </cell>
          <cell r="R137">
            <v>13542.8</v>
          </cell>
          <cell r="S137">
            <v>31</v>
          </cell>
          <cell r="T137" t="str">
            <v>31-60 Days</v>
          </cell>
          <cell r="U137">
            <v>4</v>
          </cell>
          <cell r="V137" t="str">
            <v>02401000-1 to 02401000-4</v>
          </cell>
        </row>
        <row r="138">
          <cell r="E138" t="str">
            <v>4386</v>
          </cell>
          <cell r="F138">
            <v>3</v>
          </cell>
          <cell r="G138">
            <v>3.96</v>
          </cell>
          <cell r="H138">
            <v>11.88</v>
          </cell>
          <cell r="I138" t="str">
            <v>DATES</v>
          </cell>
          <cell r="J138" t="str">
            <v>Spread</v>
          </cell>
          <cell r="K138" t="str">
            <v>Spread 330gx12Nos</v>
          </cell>
          <cell r="L138" t="str">
            <v>AL BARAKAH</v>
          </cell>
          <cell r="M138" t="str">
            <v>Al Barakah Date Spread 330gx12</v>
          </cell>
          <cell r="N138" t="str">
            <v>CDPL</v>
          </cell>
          <cell r="O138" t="str">
            <v>Savla</v>
          </cell>
          <cell r="P138" t="str">
            <v>AL BARAKAH</v>
          </cell>
          <cell r="Q138">
            <v>120</v>
          </cell>
          <cell r="R138">
            <v>1425.6</v>
          </cell>
          <cell r="S138">
            <v>28</v>
          </cell>
          <cell r="T138" t="str">
            <v>0-30 Days</v>
          </cell>
          <cell r="U138">
            <v>3</v>
          </cell>
          <cell r="V138" t="str">
            <v>61601000-1 to 61601000-3</v>
          </cell>
        </row>
        <row r="139">
          <cell r="E139" t="str">
            <v>4729</v>
          </cell>
          <cell r="F139">
            <v>730</v>
          </cell>
          <cell r="G139">
            <v>10</v>
          </cell>
          <cell r="H139">
            <v>7300</v>
          </cell>
          <cell r="I139" t="str">
            <v>DATES</v>
          </cell>
          <cell r="J139" t="str">
            <v>Powder</v>
          </cell>
          <cell r="K139" t="str">
            <v>V1</v>
          </cell>
          <cell r="L139" t="str">
            <v>AL BARAKAH</v>
          </cell>
          <cell r="M139" t="str">
            <v>10KG AL BARAKAH DATE POWDER V1</v>
          </cell>
          <cell r="N139" t="str">
            <v>CDPL</v>
          </cell>
          <cell r="O139" t="str">
            <v>Savla</v>
          </cell>
          <cell r="P139" t="str">
            <v>AL BARAKAH</v>
          </cell>
          <cell r="Q139">
            <v>250</v>
          </cell>
          <cell r="R139">
            <v>1825000</v>
          </cell>
          <cell r="S139">
            <v>24</v>
          </cell>
          <cell r="T139" t="str">
            <v>0-30 Days</v>
          </cell>
          <cell r="U139">
            <v>730</v>
          </cell>
          <cell r="V139" t="str">
            <v>07201000-441 to 07201000-1170</v>
          </cell>
        </row>
        <row r="140">
          <cell r="E140" t="str">
            <v>4950</v>
          </cell>
          <cell r="F140">
            <v>58</v>
          </cell>
          <cell r="G140">
            <v>25</v>
          </cell>
          <cell r="H140">
            <v>1450</v>
          </cell>
          <cell r="I140" t="str">
            <v>DATES</v>
          </cell>
          <cell r="J140" t="str">
            <v>Syrup</v>
          </cell>
          <cell r="K140" t="str">
            <v>Bucket 25Kg</v>
          </cell>
          <cell r="L140" t="str">
            <v>AL BARAKAH</v>
          </cell>
          <cell r="M140" t="str">
            <v>25KG AL BARAKAH DATE SYRUP V1</v>
          </cell>
          <cell r="N140" t="str">
            <v>CDPL</v>
          </cell>
          <cell r="O140" t="str">
            <v>Savla</v>
          </cell>
          <cell r="P140" t="str">
            <v>AL BARAKAH</v>
          </cell>
          <cell r="Q140">
            <v>109.8</v>
          </cell>
          <cell r="R140">
            <v>159210</v>
          </cell>
          <cell r="S140">
            <v>22</v>
          </cell>
          <cell r="T140" t="str">
            <v>0-30 Days</v>
          </cell>
          <cell r="U140">
            <v>58</v>
          </cell>
          <cell r="V140" t="str">
            <v>80001000-475 to 80001000-532</v>
          </cell>
        </row>
        <row r="141">
          <cell r="E141" t="str">
            <v>5109</v>
          </cell>
          <cell r="F141">
            <v>1300</v>
          </cell>
          <cell r="G141">
            <v>12.5</v>
          </cell>
          <cell r="H141">
            <v>16250</v>
          </cell>
          <cell r="I141" t="str">
            <v>DATES</v>
          </cell>
          <cell r="J141" t="str">
            <v>Paste</v>
          </cell>
          <cell r="K141" t="str">
            <v>Date Paste</v>
          </cell>
          <cell r="L141" t="str">
            <v>AL BARAKAH</v>
          </cell>
          <cell r="M141" t="str">
            <v>AL BARAKAH DATE PASTE 12.5KG</v>
          </cell>
          <cell r="N141" t="str">
            <v>CDPL</v>
          </cell>
          <cell r="O141" t="str">
            <v>Savla</v>
          </cell>
          <cell r="P141" t="str">
            <v>AL BARAKAH</v>
          </cell>
          <cell r="Q141">
            <v>85</v>
          </cell>
          <cell r="R141">
            <v>1381250</v>
          </cell>
          <cell r="S141">
            <v>20</v>
          </cell>
          <cell r="T141" t="str">
            <v>0-30 Days</v>
          </cell>
          <cell r="U141">
            <v>1300</v>
          </cell>
          <cell r="V141" t="str">
            <v>52801000-1 to 52801000-1300</v>
          </cell>
        </row>
        <row r="142">
          <cell r="E142" t="str">
            <v>5110</v>
          </cell>
          <cell r="F142">
            <v>200</v>
          </cell>
          <cell r="G142">
            <v>4.8</v>
          </cell>
          <cell r="H142">
            <v>960</v>
          </cell>
          <cell r="I142" t="str">
            <v>DATES</v>
          </cell>
          <cell r="J142" t="str">
            <v>Syrup</v>
          </cell>
          <cell r="K142" t="str">
            <v>400g x 12</v>
          </cell>
          <cell r="L142" t="str">
            <v>Urban Platter</v>
          </cell>
          <cell r="M142" t="str">
            <v>URBAN PLATTER DATE SYRUP (400GX12)</v>
          </cell>
          <cell r="N142" t="str">
            <v>CDPL</v>
          </cell>
          <cell r="O142" t="str">
            <v>Savla</v>
          </cell>
          <cell r="P142" t="str">
            <v>Local</v>
          </cell>
          <cell r="Q142">
            <v>206</v>
          </cell>
          <cell r="R142">
            <v>197760</v>
          </cell>
          <cell r="S142">
            <v>20</v>
          </cell>
          <cell r="T142" t="str">
            <v>0-30 Days</v>
          </cell>
          <cell r="U142">
            <v>200</v>
          </cell>
          <cell r="V142" t="str">
            <v>52802000-1 to 52802000-200</v>
          </cell>
        </row>
        <row r="143">
          <cell r="E143" t="str">
            <v>56059</v>
          </cell>
          <cell r="F143">
            <v>37</v>
          </cell>
          <cell r="G143">
            <v>10</v>
          </cell>
          <cell r="H143">
            <v>370</v>
          </cell>
          <cell r="I143" t="str">
            <v>DATES</v>
          </cell>
          <cell r="J143" t="str">
            <v>Powder</v>
          </cell>
          <cell r="K143" t="str">
            <v>V2</v>
          </cell>
          <cell r="L143" t="str">
            <v>AL BARAKAH</v>
          </cell>
          <cell r="M143" t="str">
            <v>10KG AL BARAKAH DATE POWDER V2</v>
          </cell>
          <cell r="N143" t="str">
            <v>CDPL</v>
          </cell>
          <cell r="O143" t="str">
            <v>Savla</v>
          </cell>
          <cell r="P143" t="str">
            <v>AL BARAKAH</v>
          </cell>
          <cell r="Q143">
            <v>215</v>
          </cell>
          <cell r="R143">
            <v>79550</v>
          </cell>
          <cell r="S143">
            <v>1035</v>
          </cell>
          <cell r="T143" t="str">
            <v>&gt;730 Days</v>
          </cell>
          <cell r="U143">
            <v>37</v>
          </cell>
          <cell r="V143" t="str">
            <v>90504000-1 to 90504000-37</v>
          </cell>
        </row>
        <row r="144">
          <cell r="E144" t="str">
            <v>6364</v>
          </cell>
          <cell r="F144">
            <v>751</v>
          </cell>
          <cell r="G144">
            <v>10</v>
          </cell>
          <cell r="H144">
            <v>7508.15</v>
          </cell>
          <cell r="I144" t="str">
            <v>DATES</v>
          </cell>
          <cell r="J144" t="str">
            <v>Diced</v>
          </cell>
          <cell r="K144" t="str">
            <v>Crushed Date</v>
          </cell>
          <cell r="L144" t="str">
            <v>AL BARAKAH</v>
          </cell>
          <cell r="M144" t="str">
            <v>al barakah crushed dates 10kg</v>
          </cell>
          <cell r="N144" t="str">
            <v>CDPL</v>
          </cell>
          <cell r="O144" t="str">
            <v>Savla</v>
          </cell>
          <cell r="P144" t="str">
            <v>AL BARAKAH</v>
          </cell>
          <cell r="Q144">
            <v>175</v>
          </cell>
          <cell r="R144">
            <v>1313926.25</v>
          </cell>
          <cell r="S144">
            <v>10</v>
          </cell>
          <cell r="T144" t="str">
            <v>0-30 Days</v>
          </cell>
          <cell r="U144">
            <v>1</v>
          </cell>
          <cell r="V144" t="str">
            <v>45622908-91 to 45622908-840; 66706001-751</v>
          </cell>
        </row>
        <row r="145">
          <cell r="E145" t="str">
            <v>6366</v>
          </cell>
          <cell r="F145">
            <v>90</v>
          </cell>
          <cell r="G145">
            <v>10</v>
          </cell>
          <cell r="H145">
            <v>900</v>
          </cell>
          <cell r="I145" t="str">
            <v>DATES</v>
          </cell>
          <cell r="J145" t="str">
            <v>Powder</v>
          </cell>
          <cell r="K145" t="str">
            <v>V1</v>
          </cell>
          <cell r="L145" t="str">
            <v>AL BARAKAH</v>
          </cell>
          <cell r="M145" t="str">
            <v>al barakah date powder</v>
          </cell>
          <cell r="N145" t="str">
            <v>CDPL</v>
          </cell>
          <cell r="O145" t="str">
            <v>Savla</v>
          </cell>
          <cell r="P145" t="str">
            <v>AL BARAKAH</v>
          </cell>
          <cell r="Q145">
            <v>280</v>
          </cell>
          <cell r="R145">
            <v>252000</v>
          </cell>
          <cell r="S145">
            <v>10</v>
          </cell>
          <cell r="T145" t="str">
            <v>0-30 Days</v>
          </cell>
          <cell r="U145">
            <v>1</v>
          </cell>
          <cell r="V145" t="str">
            <v>45622908-1 to 45622908-90</v>
          </cell>
        </row>
        <row r="146">
          <cell r="E146" t="str">
            <v>6833</v>
          </cell>
          <cell r="F146">
            <v>1480</v>
          </cell>
          <cell r="G146">
            <v>12.5</v>
          </cell>
          <cell r="H146">
            <v>18500</v>
          </cell>
          <cell r="I146" t="str">
            <v>DATES</v>
          </cell>
          <cell r="J146" t="str">
            <v>Paste</v>
          </cell>
          <cell r="K146" t="str">
            <v>Date Paste</v>
          </cell>
          <cell r="L146" t="str">
            <v>AL BARAKAH</v>
          </cell>
          <cell r="M146" t="str">
            <v>al barakah date paste 12.5kg</v>
          </cell>
          <cell r="N146" t="str">
            <v>CDPL</v>
          </cell>
          <cell r="O146" t="str">
            <v>Savla</v>
          </cell>
          <cell r="P146" t="str">
            <v>AL BARAKAH</v>
          </cell>
          <cell r="Q146">
            <v>95</v>
          </cell>
          <cell r="R146">
            <v>1757500</v>
          </cell>
          <cell r="S146">
            <v>3</v>
          </cell>
          <cell r="T146" t="str">
            <v>0-30 Days</v>
          </cell>
          <cell r="U146">
            <v>1</v>
          </cell>
          <cell r="V146" t="str">
            <v>60960391-1 to 60960391-1480</v>
          </cell>
        </row>
        <row r="147">
          <cell r="E147" t="str">
            <v>93289</v>
          </cell>
          <cell r="F147">
            <v>191</v>
          </cell>
          <cell r="G147">
            <v>10</v>
          </cell>
          <cell r="H147">
            <v>1910</v>
          </cell>
          <cell r="I147" t="str">
            <v>DATES</v>
          </cell>
          <cell r="J147" t="str">
            <v>Powder</v>
          </cell>
          <cell r="K147" t="str">
            <v>V2</v>
          </cell>
          <cell r="L147" t="str">
            <v>AL BARAKAH</v>
          </cell>
          <cell r="M147" t="str">
            <v>10KG AL BARAKAH DATE POWDER V2</v>
          </cell>
          <cell r="N147" t="str">
            <v>CDPL</v>
          </cell>
          <cell r="O147" t="str">
            <v>Savla</v>
          </cell>
          <cell r="P147" t="str">
            <v>AL BARAKAH</v>
          </cell>
          <cell r="Q147">
            <v>215</v>
          </cell>
          <cell r="R147">
            <v>410650</v>
          </cell>
          <cell r="S147">
            <v>666</v>
          </cell>
          <cell r="T147" t="str">
            <v>366-730 Days</v>
          </cell>
          <cell r="U147">
            <v>191</v>
          </cell>
          <cell r="V147" t="str">
            <v>90512000-1 to 90512000-114, 90513000-1 to 90513000-77</v>
          </cell>
        </row>
        <row r="148">
          <cell r="E148" t="str">
            <v>10798</v>
          </cell>
          <cell r="F148">
            <v>15</v>
          </cell>
          <cell r="G148">
            <v>5</v>
          </cell>
          <cell r="H148">
            <v>75</v>
          </cell>
          <cell r="I148" t="str">
            <v>DATES</v>
          </cell>
          <cell r="J148" t="str">
            <v>Ajwa</v>
          </cell>
          <cell r="K148" t="str">
            <v>Ajwa</v>
          </cell>
          <cell r="L148" t="str">
            <v>Regular</v>
          </cell>
          <cell r="M148" t="str">
            <v>Wet Dates Ajwa</v>
          </cell>
          <cell r="N148" t="str">
            <v>CDPL</v>
          </cell>
          <cell r="O148" t="str">
            <v>Savla</v>
          </cell>
          <cell r="P148" t="str">
            <v>Local</v>
          </cell>
          <cell r="Q148">
            <v>675</v>
          </cell>
          <cell r="R148">
            <v>50625</v>
          </cell>
          <cell r="S148">
            <v>162</v>
          </cell>
          <cell r="T148" t="str">
            <v>91-180 Days</v>
          </cell>
          <cell r="U148">
            <v>15</v>
          </cell>
          <cell r="V148" t="str">
            <v>90552000-1 to 90552000-15</v>
          </cell>
        </row>
        <row r="149">
          <cell r="E149" t="str">
            <v>10801</v>
          </cell>
          <cell r="F149">
            <v>40</v>
          </cell>
          <cell r="G149">
            <v>5</v>
          </cell>
          <cell r="H149">
            <v>200</v>
          </cell>
          <cell r="I149" t="str">
            <v>DATES</v>
          </cell>
          <cell r="J149" t="str">
            <v>Mabroom</v>
          </cell>
          <cell r="K149" t="str">
            <v>Mabroom</v>
          </cell>
          <cell r="L149" t="str">
            <v>Mabroom</v>
          </cell>
          <cell r="M149" t="str">
            <v>Wet Dates (Mabroom)</v>
          </cell>
          <cell r="N149" t="str">
            <v>CDPL</v>
          </cell>
          <cell r="O149" t="str">
            <v>Savla</v>
          </cell>
          <cell r="P149" t="str">
            <v>Local</v>
          </cell>
          <cell r="Q149">
            <v>800</v>
          </cell>
          <cell r="R149">
            <v>160000</v>
          </cell>
          <cell r="S149">
            <v>162</v>
          </cell>
          <cell r="T149" t="str">
            <v>91-180 Days</v>
          </cell>
          <cell r="U149">
            <v>40</v>
          </cell>
          <cell r="V149" t="str">
            <v>90551000-1 to 90551000-40</v>
          </cell>
        </row>
        <row r="150">
          <cell r="E150" t="str">
            <v>12108</v>
          </cell>
          <cell r="F150">
            <v>72</v>
          </cell>
          <cell r="G150">
            <v>5</v>
          </cell>
          <cell r="H150">
            <v>360</v>
          </cell>
          <cell r="I150" t="str">
            <v>DATES</v>
          </cell>
          <cell r="J150" t="str">
            <v>Ajwa</v>
          </cell>
          <cell r="K150" t="str">
            <v>Ajwa</v>
          </cell>
          <cell r="L150" t="str">
            <v>Regular</v>
          </cell>
          <cell r="M150" t="str">
            <v>Wet Dates Ajwa</v>
          </cell>
          <cell r="N150" t="str">
            <v>CDPL</v>
          </cell>
          <cell r="O150" t="str">
            <v>Savla</v>
          </cell>
          <cell r="P150" t="str">
            <v>Local</v>
          </cell>
          <cell r="Q150">
            <v>675</v>
          </cell>
          <cell r="R150">
            <v>243000</v>
          </cell>
          <cell r="S150">
            <v>132</v>
          </cell>
          <cell r="T150" t="str">
            <v>91-180 Days</v>
          </cell>
          <cell r="U150">
            <v>72</v>
          </cell>
          <cell r="V150" t="str">
            <v>90554000-2 to 90554000-73</v>
          </cell>
        </row>
        <row r="151">
          <cell r="E151" t="str">
            <v>12324</v>
          </cell>
          <cell r="F151">
            <v>1657</v>
          </cell>
          <cell r="G151">
            <v>5</v>
          </cell>
          <cell r="H151">
            <v>8285</v>
          </cell>
          <cell r="I151" t="str">
            <v>DATES</v>
          </cell>
          <cell r="J151" t="str">
            <v>Safavi</v>
          </cell>
          <cell r="K151" t="str">
            <v>Safawi-SS</v>
          </cell>
          <cell r="L151" t="str">
            <v>Super Select</v>
          </cell>
          <cell r="M151" t="str">
            <v>Wet Dates Safavi</v>
          </cell>
          <cell r="N151" t="str">
            <v>CDPL</v>
          </cell>
          <cell r="O151" t="str">
            <v>Savla</v>
          </cell>
          <cell r="P151" t="str">
            <v>AL BARAKAH</v>
          </cell>
          <cell r="Q151">
            <v>435</v>
          </cell>
          <cell r="R151">
            <v>3603975</v>
          </cell>
          <cell r="S151">
            <v>126</v>
          </cell>
          <cell r="T151" t="str">
            <v>91-180 Days</v>
          </cell>
          <cell r="U151">
            <v>1657</v>
          </cell>
          <cell r="V151" t="str">
            <v>90556000-1 to 90556000-47, 90556000-51 to 90556000-970, 90557000-1 to 90557000-690</v>
          </cell>
        </row>
        <row r="152">
          <cell r="E152" t="str">
            <v>12324</v>
          </cell>
          <cell r="F152">
            <v>54</v>
          </cell>
          <cell r="G152">
            <v>5</v>
          </cell>
          <cell r="H152">
            <v>270</v>
          </cell>
          <cell r="I152" t="str">
            <v>DATES</v>
          </cell>
          <cell r="J152" t="str">
            <v>Safavi</v>
          </cell>
          <cell r="K152" t="str">
            <v>Safawi-SS</v>
          </cell>
          <cell r="L152" t="str">
            <v>Super Select</v>
          </cell>
          <cell r="M152" t="str">
            <v>Wet Dates Safavi</v>
          </cell>
          <cell r="N152" t="str">
            <v>CDPL</v>
          </cell>
          <cell r="O152" t="str">
            <v>Savla</v>
          </cell>
          <cell r="P152" t="str">
            <v>AL BARAKAH</v>
          </cell>
          <cell r="Q152">
            <v>435</v>
          </cell>
          <cell r="R152">
            <v>117450</v>
          </cell>
          <cell r="S152">
            <v>115</v>
          </cell>
          <cell r="T152" t="str">
            <v>91-180 Days</v>
          </cell>
          <cell r="U152">
            <v>54</v>
          </cell>
          <cell r="V152" t="str">
            <v>90562000-1 to 90562000-54</v>
          </cell>
        </row>
        <row r="153">
          <cell r="E153" t="str">
            <v>12325</v>
          </cell>
          <cell r="F153">
            <v>877</v>
          </cell>
          <cell r="G153">
            <v>5</v>
          </cell>
          <cell r="H153">
            <v>4385</v>
          </cell>
          <cell r="I153" t="str">
            <v>DATES</v>
          </cell>
          <cell r="J153" t="str">
            <v>Ajwa</v>
          </cell>
          <cell r="K153" t="str">
            <v>Ajwa-SS</v>
          </cell>
          <cell r="L153" t="str">
            <v>Super Select</v>
          </cell>
          <cell r="M153" t="str">
            <v>Wet Dates Ajwa</v>
          </cell>
          <cell r="N153" t="str">
            <v>CDPL</v>
          </cell>
          <cell r="O153" t="str">
            <v>Savla</v>
          </cell>
          <cell r="P153" t="str">
            <v>AL BARAKAH</v>
          </cell>
          <cell r="Q153">
            <v>248</v>
          </cell>
          <cell r="R153">
            <v>1087480</v>
          </cell>
          <cell r="S153">
            <v>126</v>
          </cell>
          <cell r="T153" t="str">
            <v>91-180 Days</v>
          </cell>
          <cell r="U153">
            <v>877</v>
          </cell>
          <cell r="V153" t="str">
            <v>90555000-2 to 90555000-878</v>
          </cell>
        </row>
        <row r="154">
          <cell r="E154" t="str">
            <v>2056</v>
          </cell>
          <cell r="F154">
            <v>5</v>
          </cell>
          <cell r="G154">
            <v>5</v>
          </cell>
          <cell r="H154">
            <v>25</v>
          </cell>
          <cell r="I154" t="str">
            <v>DATES</v>
          </cell>
          <cell r="J154" t="str">
            <v>Rabia</v>
          </cell>
          <cell r="K154" t="str">
            <v>Rabia</v>
          </cell>
          <cell r="L154" t="str">
            <v>Rabia</v>
          </cell>
          <cell r="M154" t="str">
            <v>Wet Dates (Rabia)</v>
          </cell>
          <cell r="N154" t="str">
            <v>CDPL</v>
          </cell>
          <cell r="O154" t="str">
            <v>Savla</v>
          </cell>
          <cell r="P154" t="str">
            <v>Local</v>
          </cell>
          <cell r="Q154">
            <v>187.5</v>
          </cell>
          <cell r="R154">
            <v>4687.5</v>
          </cell>
          <cell r="S154">
            <v>389</v>
          </cell>
          <cell r="T154" t="str">
            <v>366-730 Days</v>
          </cell>
          <cell r="U154">
            <v>5</v>
          </cell>
          <cell r="V154" t="str">
            <v>90543000-1 to 90543000-5</v>
          </cell>
        </row>
        <row r="155">
          <cell r="E155" t="str">
            <v>76578</v>
          </cell>
          <cell r="F155">
            <v>11</v>
          </cell>
          <cell r="G155">
            <v>12.5</v>
          </cell>
          <cell r="H155">
            <v>137.5</v>
          </cell>
          <cell r="I155" t="str">
            <v>DATES</v>
          </cell>
          <cell r="J155" t="str">
            <v>Wanan</v>
          </cell>
          <cell r="K155" t="str">
            <v>Org Wanan-Jumbo</v>
          </cell>
          <cell r="L155" t="str">
            <v>Jumbo</v>
          </cell>
          <cell r="M155" t="str">
            <v>Organic Wanan Premium Jumbo</v>
          </cell>
          <cell r="N155" t="str">
            <v>CDPL</v>
          </cell>
          <cell r="O155" t="str">
            <v>Savla</v>
          </cell>
          <cell r="P155" t="str">
            <v>NAKHEEL</v>
          </cell>
          <cell r="Q155">
            <v>938</v>
          </cell>
          <cell r="R155">
            <v>128975</v>
          </cell>
          <cell r="S155">
            <v>412</v>
          </cell>
          <cell r="T155" t="str">
            <v>366-730 Days</v>
          </cell>
          <cell r="U155">
            <v>11</v>
          </cell>
          <cell r="V155" t="str">
            <v>90540000-1 to 90540000-11</v>
          </cell>
        </row>
        <row r="156">
          <cell r="E156" t="str">
            <v>76579</v>
          </cell>
          <cell r="F156">
            <v>10</v>
          </cell>
          <cell r="G156">
            <v>12.5</v>
          </cell>
          <cell r="H156">
            <v>125</v>
          </cell>
          <cell r="I156" t="str">
            <v>DATES</v>
          </cell>
          <cell r="J156" t="str">
            <v>Wanan</v>
          </cell>
          <cell r="K156" t="str">
            <v>Org Wanan-Large</v>
          </cell>
          <cell r="L156" t="str">
            <v>Large</v>
          </cell>
          <cell r="M156" t="str">
            <v>Organic Wanan Premium Large</v>
          </cell>
          <cell r="N156" t="str">
            <v>CDPL</v>
          </cell>
          <cell r="O156" t="str">
            <v>Savla</v>
          </cell>
          <cell r="P156" t="str">
            <v>NAKHEEL</v>
          </cell>
          <cell r="Q156">
            <v>715</v>
          </cell>
          <cell r="R156">
            <v>89375</v>
          </cell>
          <cell r="S156">
            <v>412</v>
          </cell>
          <cell r="T156" t="str">
            <v>366-730 Days</v>
          </cell>
          <cell r="U156">
            <v>10</v>
          </cell>
          <cell r="V156" t="str">
            <v>90541000-1 to 90541000-10</v>
          </cell>
        </row>
        <row r="157">
          <cell r="E157" t="str">
            <v>78999</v>
          </cell>
          <cell r="F157">
            <v>44</v>
          </cell>
          <cell r="G157">
            <v>5</v>
          </cell>
          <cell r="H157">
            <v>220</v>
          </cell>
          <cell r="I157" t="str">
            <v>DATES</v>
          </cell>
          <cell r="J157" t="str">
            <v>Ajwa</v>
          </cell>
          <cell r="K157" t="str">
            <v>Ajwa</v>
          </cell>
          <cell r="L157" t="str">
            <v>Premium</v>
          </cell>
          <cell r="M157" t="str">
            <v>Wet Dates Ajwa</v>
          </cell>
          <cell r="N157" t="str">
            <v>CDPL</v>
          </cell>
          <cell r="O157" t="str">
            <v>Savla</v>
          </cell>
          <cell r="P157" t="str">
            <v>Local</v>
          </cell>
          <cell r="Q157">
            <v>980</v>
          </cell>
          <cell r="R157">
            <v>215600</v>
          </cell>
          <cell r="S157">
            <v>494</v>
          </cell>
          <cell r="T157" t="str">
            <v>366-730 Days</v>
          </cell>
          <cell r="U157">
            <v>44</v>
          </cell>
          <cell r="V157" t="str">
            <v>90521000-2 to 90521000-45</v>
          </cell>
        </row>
        <row r="158">
          <cell r="E158" t="str">
            <v>79000</v>
          </cell>
          <cell r="F158">
            <v>31</v>
          </cell>
          <cell r="G158">
            <v>5</v>
          </cell>
          <cell r="H158">
            <v>155</v>
          </cell>
          <cell r="I158" t="str">
            <v>DATES</v>
          </cell>
          <cell r="J158" t="str">
            <v>Ajwa</v>
          </cell>
          <cell r="K158" t="str">
            <v>Ajwa</v>
          </cell>
          <cell r="L158" t="str">
            <v>Premium</v>
          </cell>
          <cell r="M158" t="str">
            <v>Wet Dates Ajwa</v>
          </cell>
          <cell r="N158" t="str">
            <v>CDPL</v>
          </cell>
          <cell r="O158" t="str">
            <v>Savla</v>
          </cell>
          <cell r="P158" t="str">
            <v>Local</v>
          </cell>
          <cell r="Q158">
            <v>980</v>
          </cell>
          <cell r="R158">
            <v>151900</v>
          </cell>
          <cell r="S158">
            <v>494</v>
          </cell>
          <cell r="T158" t="str">
            <v>366-730 Days</v>
          </cell>
          <cell r="U158">
            <v>31</v>
          </cell>
          <cell r="V158" t="str">
            <v>90520000-1 to 90520000-31</v>
          </cell>
        </row>
        <row r="159">
          <cell r="E159" t="str">
            <v>79910</v>
          </cell>
          <cell r="F159">
            <v>1</v>
          </cell>
          <cell r="G159">
            <v>8</v>
          </cell>
          <cell r="H159">
            <v>8</v>
          </cell>
          <cell r="I159" t="str">
            <v>DATES</v>
          </cell>
          <cell r="J159" t="str">
            <v>Medjoul-Large</v>
          </cell>
          <cell r="K159" t="str">
            <v>Medjoul-Large</v>
          </cell>
          <cell r="L159" t="str">
            <v>Large</v>
          </cell>
          <cell r="M159" t="str">
            <v>WET DATES MEDJOUL BULK LARGE (5)</v>
          </cell>
          <cell r="N159" t="str">
            <v>CDPL</v>
          </cell>
          <cell r="O159" t="str">
            <v>Savla</v>
          </cell>
          <cell r="P159" t="str">
            <v>Hadiklaim</v>
          </cell>
          <cell r="Q159">
            <v>817</v>
          </cell>
          <cell r="R159">
            <v>6536</v>
          </cell>
          <cell r="S159">
            <v>468</v>
          </cell>
          <cell r="T159" t="str">
            <v>366-730 Days</v>
          </cell>
          <cell r="U159">
            <v>1</v>
          </cell>
          <cell r="V159" t="str">
            <v>90523000-1</v>
          </cell>
        </row>
        <row r="160">
          <cell r="E160" t="str">
            <v>79911</v>
          </cell>
          <cell r="F160">
            <v>7</v>
          </cell>
          <cell r="G160">
            <v>8</v>
          </cell>
          <cell r="H160">
            <v>56</v>
          </cell>
          <cell r="I160" t="str">
            <v>DATES</v>
          </cell>
          <cell r="J160" t="str">
            <v>Medjoul-Jumbo</v>
          </cell>
          <cell r="K160" t="str">
            <v>Medjoul-Jumbo</v>
          </cell>
          <cell r="L160" t="str">
            <v>JUMBO</v>
          </cell>
          <cell r="M160" t="str">
            <v>WET DATES MEDJOUL JUMBO</v>
          </cell>
          <cell r="N160" t="str">
            <v>CDPL</v>
          </cell>
          <cell r="O160" t="str">
            <v>Savla</v>
          </cell>
          <cell r="P160" t="str">
            <v>Hadiklaim</v>
          </cell>
          <cell r="Q160">
            <v>1045</v>
          </cell>
          <cell r="R160">
            <v>58520</v>
          </cell>
          <cell r="S160">
            <v>468</v>
          </cell>
          <cell r="T160" t="str">
            <v>366-730 Days</v>
          </cell>
          <cell r="U160">
            <v>7</v>
          </cell>
          <cell r="V160" t="str">
            <v>90525000-1 to 90525000-7</v>
          </cell>
        </row>
        <row r="161">
          <cell r="E161" t="str">
            <v>79912</v>
          </cell>
          <cell r="F161">
            <v>9</v>
          </cell>
          <cell r="G161">
            <v>15</v>
          </cell>
          <cell r="H161">
            <v>135</v>
          </cell>
          <cell r="I161" t="str">
            <v>DATES</v>
          </cell>
          <cell r="J161" t="str">
            <v>Medjoul-Junior</v>
          </cell>
          <cell r="K161" t="str">
            <v>Medjoul-Mini</v>
          </cell>
          <cell r="L161" t="str">
            <v>Mini</v>
          </cell>
          <cell r="M161" t="str">
            <v>WET DATES MEDJOUL BULK MINI (5)</v>
          </cell>
          <cell r="N161" t="str">
            <v>CDPL</v>
          </cell>
          <cell r="O161" t="str">
            <v>Savla</v>
          </cell>
          <cell r="P161" t="str">
            <v>Hadiklaim</v>
          </cell>
          <cell r="Q161">
            <v>477</v>
          </cell>
          <cell r="R161">
            <v>64395</v>
          </cell>
          <cell r="S161">
            <v>468</v>
          </cell>
          <cell r="T161" t="str">
            <v>366-730 Days</v>
          </cell>
          <cell r="U161">
            <v>9</v>
          </cell>
          <cell r="V161" t="str">
            <v>90524000-1 to 90524000-9</v>
          </cell>
        </row>
        <row r="162">
          <cell r="E162" t="str">
            <v>79952</v>
          </cell>
          <cell r="F162">
            <v>9</v>
          </cell>
          <cell r="G162">
            <v>5</v>
          </cell>
          <cell r="H162">
            <v>45</v>
          </cell>
          <cell r="I162" t="str">
            <v>DATES</v>
          </cell>
          <cell r="J162" t="str">
            <v>OFF-GRADE DATES</v>
          </cell>
          <cell r="K162" t="str">
            <v>Medjoul-Rej</v>
          </cell>
          <cell r="L162" t="str">
            <v>S.JUMBO</v>
          </cell>
          <cell r="M162" t="str">
            <v>Off-Grade Dates</v>
          </cell>
          <cell r="N162" t="str">
            <v>CDPL</v>
          </cell>
          <cell r="O162" t="str">
            <v>Savla</v>
          </cell>
          <cell r="P162" t="str">
            <v>Hadiklaim</v>
          </cell>
          <cell r="Q162">
            <v>1139</v>
          </cell>
          <cell r="R162">
            <v>51255</v>
          </cell>
          <cell r="S162">
            <v>467</v>
          </cell>
          <cell r="T162" t="str">
            <v>366-730 Days</v>
          </cell>
          <cell r="U162">
            <v>9</v>
          </cell>
          <cell r="V162" t="str">
            <v>90526000-1 to 90526000-9</v>
          </cell>
        </row>
        <row r="163">
          <cell r="E163" t="str">
            <v>81382</v>
          </cell>
          <cell r="F163">
            <v>4</v>
          </cell>
          <cell r="G163">
            <v>5</v>
          </cell>
          <cell r="H163">
            <v>20</v>
          </cell>
          <cell r="I163" t="str">
            <v>DATES</v>
          </cell>
          <cell r="J163" t="str">
            <v>OFF-GRADE DATES</v>
          </cell>
          <cell r="K163" t="str">
            <v>Medjoul-Rej</v>
          </cell>
          <cell r="L163" t="str">
            <v>Large</v>
          </cell>
          <cell r="M163" t="str">
            <v>Off-Grade Dates</v>
          </cell>
          <cell r="N163" t="str">
            <v>CDPL</v>
          </cell>
          <cell r="O163" t="str">
            <v>Savla</v>
          </cell>
          <cell r="P163" t="str">
            <v>Hadiklaim</v>
          </cell>
          <cell r="Q163">
            <v>200</v>
          </cell>
          <cell r="R163">
            <v>4000</v>
          </cell>
          <cell r="S163">
            <v>431</v>
          </cell>
          <cell r="T163" t="str">
            <v>366-730 Days</v>
          </cell>
          <cell r="U163">
            <v>4</v>
          </cell>
          <cell r="V163" t="str">
            <v>90530000-1 to 90530000-4</v>
          </cell>
        </row>
        <row r="164">
          <cell r="E164" t="str">
            <v>81466</v>
          </cell>
          <cell r="F164">
            <v>73</v>
          </cell>
          <cell r="G164">
            <v>5</v>
          </cell>
          <cell r="H164">
            <v>365</v>
          </cell>
          <cell r="I164" t="str">
            <v>DATES</v>
          </cell>
          <cell r="J164" t="str">
            <v>Ajwa</v>
          </cell>
          <cell r="K164" t="str">
            <v>Ajwa</v>
          </cell>
          <cell r="L164" t="str">
            <v>RTV</v>
          </cell>
          <cell r="M164" t="str">
            <v>Royal Delight Ajwa Dates 5 Kgs</v>
          </cell>
          <cell r="N164" t="str">
            <v>CDPL</v>
          </cell>
          <cell r="O164" t="str">
            <v>Savla</v>
          </cell>
          <cell r="P164" t="str">
            <v>Local</v>
          </cell>
          <cell r="Q164">
            <v>980</v>
          </cell>
          <cell r="R164">
            <v>357700</v>
          </cell>
          <cell r="S164">
            <v>429</v>
          </cell>
          <cell r="T164" t="str">
            <v>366-730 Days</v>
          </cell>
          <cell r="U164">
            <v>73</v>
          </cell>
          <cell r="V164" t="str">
            <v>90531000-1 to 90531000-73</v>
          </cell>
        </row>
        <row r="165">
          <cell r="E165" t="str">
            <v>81942</v>
          </cell>
          <cell r="F165">
            <v>2</v>
          </cell>
          <cell r="G165">
            <v>12.5</v>
          </cell>
          <cell r="H165">
            <v>25</v>
          </cell>
          <cell r="I165" t="str">
            <v>DATES</v>
          </cell>
          <cell r="J165" t="str">
            <v>Seqee</v>
          </cell>
          <cell r="K165" t="str">
            <v>Org Seqee-Large</v>
          </cell>
          <cell r="L165" t="str">
            <v>Large</v>
          </cell>
          <cell r="M165" t="str">
            <v>Organic Seqee Premium Large</v>
          </cell>
          <cell r="N165" t="str">
            <v>CDPL</v>
          </cell>
          <cell r="O165" t="str">
            <v>Savla</v>
          </cell>
          <cell r="P165" t="str">
            <v>NAKHEEL</v>
          </cell>
          <cell r="Q165">
            <v>641</v>
          </cell>
          <cell r="R165">
            <v>16025</v>
          </cell>
          <cell r="S165">
            <v>419</v>
          </cell>
          <cell r="T165" t="str">
            <v>366-730 Days</v>
          </cell>
          <cell r="U165">
            <v>2</v>
          </cell>
          <cell r="V165" t="str">
            <v>90536000-1 to 90536000-2</v>
          </cell>
        </row>
        <row r="166">
          <cell r="E166" t="str">
            <v>81943</v>
          </cell>
          <cell r="F166">
            <v>1</v>
          </cell>
          <cell r="G166">
            <v>12.5</v>
          </cell>
          <cell r="H166">
            <v>12.5</v>
          </cell>
          <cell r="I166" t="str">
            <v>DATES</v>
          </cell>
          <cell r="J166" t="str">
            <v>Khidri</v>
          </cell>
          <cell r="K166" t="str">
            <v>Org Khidri-Med</v>
          </cell>
          <cell r="L166" t="str">
            <v>Medium</v>
          </cell>
          <cell r="M166" t="str">
            <v>Organic Khidri Premium Medium</v>
          </cell>
          <cell r="N166" t="str">
            <v>CDPL</v>
          </cell>
          <cell r="O166" t="str">
            <v>Savla</v>
          </cell>
          <cell r="P166" t="str">
            <v>NAKHEEL</v>
          </cell>
          <cell r="Q166">
            <v>403</v>
          </cell>
          <cell r="R166">
            <v>5037.5</v>
          </cell>
          <cell r="S166">
            <v>419</v>
          </cell>
          <cell r="T166" t="str">
            <v>366-730 Days</v>
          </cell>
          <cell r="U166">
            <v>1</v>
          </cell>
          <cell r="V166" t="str">
            <v>90535000-1</v>
          </cell>
        </row>
        <row r="167">
          <cell r="E167" t="str">
            <v>81944</v>
          </cell>
          <cell r="F167">
            <v>1</v>
          </cell>
          <cell r="G167">
            <v>12.5</v>
          </cell>
          <cell r="H167">
            <v>12.5</v>
          </cell>
          <cell r="I167" t="str">
            <v>DATES</v>
          </cell>
          <cell r="J167" t="str">
            <v>Wanan</v>
          </cell>
          <cell r="K167" t="str">
            <v>Org Wanan-Large</v>
          </cell>
          <cell r="L167" t="str">
            <v>Large</v>
          </cell>
          <cell r="M167" t="str">
            <v>Organic Wanan Premium Large</v>
          </cell>
          <cell r="N167" t="str">
            <v>CDPL</v>
          </cell>
          <cell r="O167" t="str">
            <v>Savla</v>
          </cell>
          <cell r="P167" t="str">
            <v>NAKHEEL</v>
          </cell>
          <cell r="Q167">
            <v>715</v>
          </cell>
          <cell r="R167">
            <v>8937.5</v>
          </cell>
          <cell r="S167">
            <v>419</v>
          </cell>
          <cell r="T167" t="str">
            <v>366-730 Days</v>
          </cell>
          <cell r="U167">
            <v>1</v>
          </cell>
          <cell r="V167" t="str">
            <v>90539000-1</v>
          </cell>
        </row>
        <row r="168">
          <cell r="E168" t="str">
            <v>9620</v>
          </cell>
          <cell r="F168">
            <v>4</v>
          </cell>
          <cell r="G168">
            <v>5</v>
          </cell>
          <cell r="H168">
            <v>20</v>
          </cell>
          <cell r="I168" t="str">
            <v>DATES</v>
          </cell>
          <cell r="J168" t="str">
            <v>Ajwa</v>
          </cell>
          <cell r="K168" t="str">
            <v>Ajwa</v>
          </cell>
          <cell r="L168" t="str">
            <v>Premium</v>
          </cell>
          <cell r="M168" t="str">
            <v>Wet Dates Ajwa</v>
          </cell>
          <cell r="N168" t="str">
            <v>CDPL</v>
          </cell>
          <cell r="O168" t="str">
            <v>Savla</v>
          </cell>
          <cell r="P168" t="str">
            <v>Local</v>
          </cell>
          <cell r="Q168">
            <v>675</v>
          </cell>
          <cell r="R168">
            <v>13500</v>
          </cell>
          <cell r="S168">
            <v>186</v>
          </cell>
          <cell r="T168" t="str">
            <v>181-365 Days</v>
          </cell>
          <cell r="U168">
            <v>4</v>
          </cell>
          <cell r="V168" t="str">
            <v>90550000-1 to 90550000-4</v>
          </cell>
        </row>
        <row r="169">
          <cell r="E169" t="str">
            <v>9621</v>
          </cell>
          <cell r="F169">
            <v>40</v>
          </cell>
          <cell r="G169">
            <v>5</v>
          </cell>
          <cell r="H169">
            <v>200</v>
          </cell>
          <cell r="I169" t="str">
            <v>DATES</v>
          </cell>
          <cell r="J169" t="str">
            <v>Ajwa</v>
          </cell>
          <cell r="K169" t="str">
            <v>Ajwa</v>
          </cell>
          <cell r="L169" t="str">
            <v>Regular</v>
          </cell>
          <cell r="M169" t="str">
            <v>Wet Dates Ajwa</v>
          </cell>
          <cell r="N169" t="str">
            <v>CDPL</v>
          </cell>
          <cell r="O169" t="str">
            <v>Savla</v>
          </cell>
          <cell r="P169" t="str">
            <v>Local</v>
          </cell>
          <cell r="Q169">
            <v>675</v>
          </cell>
          <cell r="R169">
            <v>135000</v>
          </cell>
          <cell r="S169">
            <v>186</v>
          </cell>
          <cell r="T169" t="str">
            <v>181-365 Days</v>
          </cell>
          <cell r="U169">
            <v>40</v>
          </cell>
          <cell r="V169" t="str">
            <v>90549000-1 to 90549000-40</v>
          </cell>
        </row>
        <row r="170">
          <cell r="E170" t="str">
            <v>3962</v>
          </cell>
          <cell r="F170">
            <v>2</v>
          </cell>
          <cell r="G170">
            <v>4.8499999999999996</v>
          </cell>
          <cell r="H170">
            <v>9.6999999999999993</v>
          </cell>
          <cell r="I170" t="str">
            <v>DATES</v>
          </cell>
          <cell r="J170" t="str">
            <v>Medjoul-Medium</v>
          </cell>
          <cell r="K170"/>
          <cell r="L170"/>
          <cell r="M170" t="str">
            <v>WET DATES MEDJOUL BULK MEDIUM(5)</v>
          </cell>
          <cell r="N170" t="str">
            <v>CDPL</v>
          </cell>
          <cell r="O170" t="str">
            <v>Savla</v>
          </cell>
          <cell r="P170" t="str">
            <v>PREMIUM HARVEST LIMITED</v>
          </cell>
          <cell r="Q170">
            <v>765</v>
          </cell>
          <cell r="R170">
            <v>7420.5</v>
          </cell>
          <cell r="S170">
            <v>31</v>
          </cell>
          <cell r="T170" t="str">
            <v>31-60 Days</v>
          </cell>
          <cell r="U170">
            <v>2</v>
          </cell>
          <cell r="V170" t="str">
            <v>25648118-996 to 25648118-997</v>
          </cell>
        </row>
        <row r="171">
          <cell r="E171" t="str">
            <v>3962</v>
          </cell>
          <cell r="F171">
            <v>1</v>
          </cell>
          <cell r="G171">
            <v>4.9000000000000004</v>
          </cell>
          <cell r="H171">
            <v>4.9000000000000004</v>
          </cell>
          <cell r="I171" t="str">
            <v>DATES</v>
          </cell>
          <cell r="J171" t="str">
            <v>Medjoul-Medium</v>
          </cell>
          <cell r="K171"/>
          <cell r="L171"/>
          <cell r="M171" t="str">
            <v>WET DATES MEDJOUL BULK MEDIUM(5)</v>
          </cell>
          <cell r="N171" t="str">
            <v>CDPL</v>
          </cell>
          <cell r="O171" t="str">
            <v>Savla</v>
          </cell>
          <cell r="P171" t="str">
            <v>PREMIUM HARVEST LIMITED</v>
          </cell>
          <cell r="Q171">
            <v>765</v>
          </cell>
          <cell r="R171">
            <v>3748.5</v>
          </cell>
          <cell r="S171">
            <v>31</v>
          </cell>
          <cell r="T171" t="str">
            <v>31-60 Days</v>
          </cell>
          <cell r="U171">
            <v>1</v>
          </cell>
          <cell r="V171" t="str">
            <v>25648118-987</v>
          </cell>
        </row>
        <row r="172">
          <cell r="E172" t="str">
            <v>3962</v>
          </cell>
          <cell r="F172">
            <v>92</v>
          </cell>
          <cell r="G172">
            <v>5</v>
          </cell>
          <cell r="H172">
            <v>460</v>
          </cell>
          <cell r="I172" t="str">
            <v>DATES</v>
          </cell>
          <cell r="J172" t="str">
            <v>Medjoul-Medium</v>
          </cell>
          <cell r="K172"/>
          <cell r="L172"/>
          <cell r="M172" t="str">
            <v>WET DATES MEDJOUL BULK MEDIUM(5)</v>
          </cell>
          <cell r="N172" t="str">
            <v>CDPL</v>
          </cell>
          <cell r="O172" t="str">
            <v>Savla</v>
          </cell>
          <cell r="P172" t="str">
            <v>PREMIUM HARVEST LIMITED</v>
          </cell>
          <cell r="Q172">
            <v>765</v>
          </cell>
          <cell r="R172">
            <v>351900</v>
          </cell>
          <cell r="S172">
            <v>31</v>
          </cell>
          <cell r="T172" t="str">
            <v>31-60 Days</v>
          </cell>
          <cell r="U172">
            <v>92</v>
          </cell>
          <cell r="V172" t="str">
            <v>25648118-1, 25648118-906 to 25648118-985, 25648118-988 to 25648118-995, 25648118-998 to 25648118-1000</v>
          </cell>
        </row>
        <row r="173">
          <cell r="E173" t="str">
            <v>3962</v>
          </cell>
          <cell r="F173">
            <v>1</v>
          </cell>
          <cell r="G173">
            <v>5.05</v>
          </cell>
          <cell r="H173">
            <v>5.05</v>
          </cell>
          <cell r="I173" t="str">
            <v>DATES</v>
          </cell>
          <cell r="J173" t="str">
            <v>Medjoul-Medium</v>
          </cell>
          <cell r="K173"/>
          <cell r="L173"/>
          <cell r="M173" t="str">
            <v>WET DATES MEDJOUL BULK MEDIUM(5)</v>
          </cell>
          <cell r="N173" t="str">
            <v>CDPL</v>
          </cell>
          <cell r="O173" t="str">
            <v>Savla</v>
          </cell>
          <cell r="P173" t="str">
            <v>PREMIUM HARVEST LIMITED</v>
          </cell>
          <cell r="Q173">
            <v>765</v>
          </cell>
          <cell r="R173">
            <v>3863.25</v>
          </cell>
          <cell r="S173">
            <v>31</v>
          </cell>
          <cell r="T173" t="str">
            <v>31-60 Days</v>
          </cell>
          <cell r="U173">
            <v>1</v>
          </cell>
          <cell r="V173" t="str">
            <v>25648118-986</v>
          </cell>
        </row>
        <row r="174">
          <cell r="E174" t="str">
            <v>3963</v>
          </cell>
          <cell r="F174">
            <v>2</v>
          </cell>
          <cell r="G174">
            <v>4.75</v>
          </cell>
          <cell r="H174">
            <v>9.5</v>
          </cell>
          <cell r="I174" t="str">
            <v>DATES</v>
          </cell>
          <cell r="J174" t="str">
            <v>Medjoul-Junior</v>
          </cell>
          <cell r="K174"/>
          <cell r="L174"/>
          <cell r="M174" t="str">
            <v>WET DATES MEDJOUL BULK MINI (5)</v>
          </cell>
          <cell r="N174" t="str">
            <v>CDPL</v>
          </cell>
          <cell r="O174" t="str">
            <v>Savla</v>
          </cell>
          <cell r="P174" t="str">
            <v>PREMIUM HARVEST LIMITED</v>
          </cell>
          <cell r="Q174">
            <v>677.14</v>
          </cell>
          <cell r="R174">
            <v>6432.84</v>
          </cell>
          <cell r="S174">
            <v>31</v>
          </cell>
          <cell r="T174" t="str">
            <v>31-60 Days</v>
          </cell>
          <cell r="U174">
            <v>2</v>
          </cell>
          <cell r="V174" t="str">
            <v>34760065-976 to 34760065-977</v>
          </cell>
        </row>
        <row r="175">
          <cell r="E175" t="str">
            <v>3963</v>
          </cell>
          <cell r="F175">
            <v>4</v>
          </cell>
          <cell r="G175">
            <v>4.8499999999999996</v>
          </cell>
          <cell r="H175">
            <v>19.399999999999999</v>
          </cell>
          <cell r="I175" t="str">
            <v>DATES</v>
          </cell>
          <cell r="J175" t="str">
            <v>Medjoul-Junior</v>
          </cell>
          <cell r="K175"/>
          <cell r="L175"/>
          <cell r="M175" t="str">
            <v>WET DATES MEDJOUL BULK MINI (5)</v>
          </cell>
          <cell r="N175" t="str">
            <v>CDPL</v>
          </cell>
          <cell r="O175" t="str">
            <v>Savla</v>
          </cell>
          <cell r="P175" t="str">
            <v>PREMIUM HARVEST LIMITED</v>
          </cell>
          <cell r="Q175">
            <v>677.14</v>
          </cell>
          <cell r="R175">
            <v>13136.52</v>
          </cell>
          <cell r="S175">
            <v>31</v>
          </cell>
          <cell r="T175" t="str">
            <v>31-60 Days</v>
          </cell>
          <cell r="U175">
            <v>4</v>
          </cell>
          <cell r="V175" t="str">
            <v>34760065-971 to 34760065-972, 34760065-974 to 34760065-975</v>
          </cell>
        </row>
        <row r="176">
          <cell r="E176" t="str">
            <v>3963</v>
          </cell>
          <cell r="F176">
            <v>1</v>
          </cell>
          <cell r="G176">
            <v>4.9000000000000004</v>
          </cell>
          <cell r="H176">
            <v>4.9000000000000004</v>
          </cell>
          <cell r="I176" t="str">
            <v>DATES</v>
          </cell>
          <cell r="J176" t="str">
            <v>Medjoul-Junior</v>
          </cell>
          <cell r="K176"/>
          <cell r="L176"/>
          <cell r="M176" t="str">
            <v>WET DATES MEDJOUL BULK MINI (5)</v>
          </cell>
          <cell r="N176" t="str">
            <v>CDPL</v>
          </cell>
          <cell r="O176" t="str">
            <v>Savla</v>
          </cell>
          <cell r="P176" t="str">
            <v>PREMIUM HARVEST LIMITED</v>
          </cell>
          <cell r="Q176">
            <v>677.14</v>
          </cell>
          <cell r="R176">
            <v>3317.99</v>
          </cell>
          <cell r="S176">
            <v>31</v>
          </cell>
          <cell r="T176" t="str">
            <v>31-60 Days</v>
          </cell>
          <cell r="U176">
            <v>1</v>
          </cell>
          <cell r="V176" t="str">
            <v>34760065-973</v>
          </cell>
        </row>
        <row r="177">
          <cell r="E177" t="str">
            <v>3963</v>
          </cell>
          <cell r="F177">
            <v>46</v>
          </cell>
          <cell r="G177">
            <v>5</v>
          </cell>
          <cell r="H177">
            <v>230</v>
          </cell>
          <cell r="I177" t="str">
            <v>DATES</v>
          </cell>
          <cell r="J177" t="str">
            <v>Medjoul-Junior</v>
          </cell>
          <cell r="K177"/>
          <cell r="L177"/>
          <cell r="M177" t="str">
            <v>WET DATES MEDJOUL BULK MINI (5)</v>
          </cell>
          <cell r="N177" t="str">
            <v>CDPL</v>
          </cell>
          <cell r="O177" t="str">
            <v>Savla</v>
          </cell>
          <cell r="P177" t="str">
            <v>PREMIUM HARVEST LIMITED</v>
          </cell>
          <cell r="Q177">
            <v>677.14</v>
          </cell>
          <cell r="R177">
            <v>155742.20000000001</v>
          </cell>
          <cell r="S177">
            <v>31</v>
          </cell>
          <cell r="T177" t="str">
            <v>31-60 Days</v>
          </cell>
          <cell r="U177">
            <v>46</v>
          </cell>
          <cell r="V177" t="str">
            <v>34760065-1, 34760065-10, 34760065-939 to 34760065-970, 34760065-979 to 34760065-990</v>
          </cell>
        </row>
        <row r="178">
          <cell r="E178" t="str">
            <v>3963</v>
          </cell>
          <cell r="F178">
            <v>1</v>
          </cell>
          <cell r="G178">
            <v>5.15</v>
          </cell>
          <cell r="H178">
            <v>5.15</v>
          </cell>
          <cell r="I178" t="str">
            <v>DATES</v>
          </cell>
          <cell r="J178" t="str">
            <v>Medjoul-Junior</v>
          </cell>
          <cell r="K178"/>
          <cell r="L178"/>
          <cell r="M178" t="str">
            <v>WET DATES MEDJOUL BULK MINI (5)</v>
          </cell>
          <cell r="N178" t="str">
            <v>CDPL</v>
          </cell>
          <cell r="O178" t="str">
            <v>Savla</v>
          </cell>
          <cell r="P178" t="str">
            <v>PREMIUM HARVEST LIMITED</v>
          </cell>
          <cell r="Q178">
            <v>677.14</v>
          </cell>
          <cell r="R178">
            <v>3487.27</v>
          </cell>
          <cell r="S178">
            <v>31</v>
          </cell>
          <cell r="T178" t="str">
            <v>31-60 Days</v>
          </cell>
          <cell r="U178">
            <v>1</v>
          </cell>
          <cell r="V178" t="str">
            <v>34760065-978</v>
          </cell>
        </row>
        <row r="179">
          <cell r="E179" t="str">
            <v>35038</v>
          </cell>
          <cell r="F179">
            <v>1755</v>
          </cell>
          <cell r="G179">
            <v>10</v>
          </cell>
          <cell r="H179">
            <v>17550</v>
          </cell>
          <cell r="I179" t="str">
            <v>DATES</v>
          </cell>
          <cell r="J179" t="str">
            <v>Sufri</v>
          </cell>
          <cell r="K179" t="str">
            <v>Sufri</v>
          </cell>
          <cell r="L179" t="str">
            <v>Premium Harvest</v>
          </cell>
          <cell r="M179" t="str">
            <v>Sufri Wet Dates</v>
          </cell>
          <cell r="N179" t="str">
            <v>CDPL</v>
          </cell>
          <cell r="O179" t="str">
            <v>Supreme</v>
          </cell>
          <cell r="P179" t="str">
            <v>Local</v>
          </cell>
          <cell r="Q179">
            <v>98</v>
          </cell>
          <cell r="R179">
            <v>1719900</v>
          </cell>
          <cell r="S179">
            <v>62</v>
          </cell>
          <cell r="T179" t="str">
            <v>61-90 Days</v>
          </cell>
          <cell r="U179">
            <v>1755</v>
          </cell>
          <cell r="V179" t="str">
            <v>24001000-301 to 24001000-2055</v>
          </cell>
        </row>
        <row r="180">
          <cell r="E180" t="str">
            <v>127181</v>
          </cell>
          <cell r="F180">
            <v>838</v>
          </cell>
          <cell r="G180">
            <v>10</v>
          </cell>
          <cell r="H180">
            <v>8380</v>
          </cell>
          <cell r="I180" t="str">
            <v>dates</v>
          </cell>
          <cell r="J180" t="str">
            <v>khalas</v>
          </cell>
          <cell r="K180"/>
          <cell r="L180"/>
          <cell r="M180" t="str">
            <v>wet dates khalas</v>
          </cell>
          <cell r="N180" t="str">
            <v>CFPL</v>
          </cell>
          <cell r="O180" t="str">
            <v>Rishi</v>
          </cell>
          <cell r="P180" t="str">
            <v>AAT IMPEX</v>
          </cell>
          <cell r="Q180">
            <v>115</v>
          </cell>
          <cell r="R180">
            <v>963700</v>
          </cell>
          <cell r="S180">
            <v>22</v>
          </cell>
          <cell r="T180" t="str">
            <v>0-30 Days</v>
          </cell>
          <cell r="U180">
            <v>838</v>
          </cell>
          <cell r="V180" t="str">
            <v>99474700-1 to 99474700-838</v>
          </cell>
        </row>
        <row r="181">
          <cell r="E181" t="str">
            <v>127182</v>
          </cell>
          <cell r="F181">
            <v>4</v>
          </cell>
          <cell r="G181">
            <v>9.9</v>
          </cell>
          <cell r="H181">
            <v>39.6</v>
          </cell>
          <cell r="I181" t="str">
            <v>dates</v>
          </cell>
          <cell r="J181" t="str">
            <v>seedless</v>
          </cell>
          <cell r="K181"/>
          <cell r="L181"/>
          <cell r="M181" t="str">
            <v>wet dates seedless khalas</v>
          </cell>
          <cell r="N181" t="str">
            <v>CFPL</v>
          </cell>
          <cell r="O181" t="str">
            <v>Rishi</v>
          </cell>
          <cell r="P181" t="str">
            <v>AAT IMPEX</v>
          </cell>
          <cell r="Q181">
            <v>135</v>
          </cell>
          <cell r="R181">
            <v>5346</v>
          </cell>
          <cell r="S181">
            <v>26</v>
          </cell>
          <cell r="T181" t="str">
            <v>0-30 Days</v>
          </cell>
          <cell r="U181">
            <v>4</v>
          </cell>
          <cell r="V181" t="str">
            <v>59958975-97 to 59958975-100</v>
          </cell>
        </row>
        <row r="182">
          <cell r="E182" t="str">
            <v>127182</v>
          </cell>
          <cell r="F182">
            <v>96</v>
          </cell>
          <cell r="G182">
            <v>10</v>
          </cell>
          <cell r="H182">
            <v>960</v>
          </cell>
          <cell r="I182" t="str">
            <v>dates</v>
          </cell>
          <cell r="J182" t="str">
            <v>seedless</v>
          </cell>
          <cell r="K182"/>
          <cell r="L182"/>
          <cell r="M182" t="str">
            <v>wet dates seedless khalas</v>
          </cell>
          <cell r="N182" t="str">
            <v>CFPL</v>
          </cell>
          <cell r="O182" t="str">
            <v>Rishi</v>
          </cell>
          <cell r="P182" t="str">
            <v>AAT IMPEX</v>
          </cell>
          <cell r="Q182">
            <v>135</v>
          </cell>
          <cell r="R182">
            <v>129600</v>
          </cell>
          <cell r="S182">
            <v>26</v>
          </cell>
          <cell r="T182" t="str">
            <v>0-30 Days</v>
          </cell>
          <cell r="U182">
            <v>96</v>
          </cell>
          <cell r="V182" t="str">
            <v>59958975-1 to 59958975-96</v>
          </cell>
        </row>
        <row r="183">
          <cell r="E183" t="str">
            <v>127487</v>
          </cell>
          <cell r="F183">
            <v>375</v>
          </cell>
          <cell r="G183">
            <v>6</v>
          </cell>
          <cell r="H183">
            <v>2250</v>
          </cell>
          <cell r="I183" t="str">
            <v>DATES</v>
          </cell>
          <cell r="J183" t="str">
            <v>KIMIA</v>
          </cell>
          <cell r="K183" t="str">
            <v>Mazafati-Shrink Wrap</v>
          </cell>
          <cell r="L183" t="str">
            <v>Grade-B W202</v>
          </cell>
          <cell r="M183" t="str">
            <v>KIMIA GRADE B</v>
          </cell>
          <cell r="N183" t="str">
            <v>CFPL</v>
          </cell>
          <cell r="O183" t="str">
            <v>Rishi</v>
          </cell>
          <cell r="P183" t="str">
            <v>Local</v>
          </cell>
          <cell r="Q183">
            <v>3.47</v>
          </cell>
          <cell r="R183">
            <v>487500</v>
          </cell>
          <cell r="S183">
            <v>15</v>
          </cell>
          <cell r="T183" t="str">
            <v>0-30 Days</v>
          </cell>
          <cell r="U183">
            <v>0</v>
          </cell>
          <cell r="V183" t="str">
            <v>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</v>
          </cell>
        </row>
        <row r="184">
          <cell r="E184" t="str">
            <v>127487</v>
          </cell>
          <cell r="F184">
            <v>333</v>
          </cell>
          <cell r="G184">
            <v>6</v>
          </cell>
          <cell r="H184">
            <v>1998</v>
          </cell>
          <cell r="I184" t="str">
            <v>DATES</v>
          </cell>
          <cell r="J184" t="str">
            <v>KIMIA</v>
          </cell>
          <cell r="K184" t="str">
            <v>Mazafati-Shrink Wrap</v>
          </cell>
          <cell r="L184" t="str">
            <v>Grade-B W202</v>
          </cell>
          <cell r="M184" t="str">
            <v>KIMIA GRADE B</v>
          </cell>
          <cell r="N184" t="str">
            <v>CFPL</v>
          </cell>
          <cell r="O184" t="str">
            <v>Rishi</v>
          </cell>
          <cell r="P184" t="str">
            <v>Local</v>
          </cell>
          <cell r="Q184">
            <v>3.9</v>
          </cell>
          <cell r="R184">
            <v>432900</v>
          </cell>
          <cell r="S184">
            <v>8</v>
          </cell>
          <cell r="T184" t="str">
            <v>0-30 Days</v>
          </cell>
          <cell r="U184">
            <v>0</v>
          </cell>
          <cell r="V184" t="str">
            <v>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</v>
          </cell>
        </row>
        <row r="185">
          <cell r="E185" t="str">
            <v>127488</v>
          </cell>
          <cell r="F185">
            <v>235</v>
          </cell>
          <cell r="G185">
            <v>6</v>
          </cell>
          <cell r="H185">
            <v>1410</v>
          </cell>
          <cell r="I185" t="str">
            <v>DATES</v>
          </cell>
          <cell r="J185" t="str">
            <v>KIMIA</v>
          </cell>
          <cell r="K185" t="str">
            <v>Mazafati</v>
          </cell>
          <cell r="L185"/>
          <cell r="M185" t="str">
            <v>MAZAFATI DATES</v>
          </cell>
          <cell r="N185" t="str">
            <v>CFPL</v>
          </cell>
          <cell r="O185" t="str">
            <v>Rishi</v>
          </cell>
          <cell r="P185" t="str">
            <v>Local</v>
          </cell>
          <cell r="Q185">
            <v>231</v>
          </cell>
          <cell r="R185">
            <v>325710</v>
          </cell>
          <cell r="S185">
            <v>15</v>
          </cell>
          <cell r="T185" t="str">
            <v>0-30 Days</v>
          </cell>
          <cell r="U185">
            <v>0</v>
          </cell>
          <cell r="V185" t="str">
            <v>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</v>
          </cell>
        </row>
        <row r="186">
          <cell r="E186" t="str">
            <v>127488</v>
          </cell>
          <cell r="F186">
            <v>235</v>
          </cell>
          <cell r="G186">
            <v>6</v>
          </cell>
          <cell r="H186">
            <v>1410</v>
          </cell>
          <cell r="I186" t="str">
            <v>DATES</v>
          </cell>
          <cell r="J186" t="str">
            <v>KIMIA</v>
          </cell>
          <cell r="K186" t="str">
            <v>Mazafati</v>
          </cell>
          <cell r="L186" t="str">
            <v>W202 Original Packing</v>
          </cell>
          <cell r="M186" t="str">
            <v>MAZAFATI DATES</v>
          </cell>
          <cell r="N186" t="str">
            <v>CFPL</v>
          </cell>
          <cell r="O186" t="str">
            <v>Rishi</v>
          </cell>
          <cell r="P186" t="str">
            <v>Local</v>
          </cell>
          <cell r="Q186">
            <v>5.89</v>
          </cell>
          <cell r="R186">
            <v>325357.5</v>
          </cell>
          <cell r="S186">
            <v>15</v>
          </cell>
          <cell r="T186" t="str">
            <v>0-30 Days</v>
          </cell>
          <cell r="U186">
            <v>0</v>
          </cell>
          <cell r="V186" t="str">
            <v>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</v>
          </cell>
        </row>
        <row r="187">
          <cell r="E187" t="str">
            <v>127488</v>
          </cell>
          <cell r="F187">
            <v>235</v>
          </cell>
          <cell r="G187">
            <v>6</v>
          </cell>
          <cell r="H187">
            <v>1410</v>
          </cell>
          <cell r="I187" t="str">
            <v>DATES</v>
          </cell>
          <cell r="J187" t="str">
            <v>KIMIA</v>
          </cell>
          <cell r="K187" t="str">
            <v>Mazafati</v>
          </cell>
          <cell r="L187" t="str">
            <v>W202 Return</v>
          </cell>
          <cell r="M187" t="str">
            <v>MAZAFATI DATES</v>
          </cell>
          <cell r="N187" t="str">
            <v>CFPL</v>
          </cell>
          <cell r="O187" t="str">
            <v>Rishi</v>
          </cell>
          <cell r="P187" t="str">
            <v>Local</v>
          </cell>
          <cell r="Q187">
            <v>5.89</v>
          </cell>
          <cell r="R187">
            <v>325357.5</v>
          </cell>
          <cell r="S187">
            <v>8</v>
          </cell>
          <cell r="T187" t="str">
            <v>0-30 Days</v>
          </cell>
          <cell r="U187">
            <v>0</v>
          </cell>
          <cell r="V187" t="str">
            <v>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</v>
          </cell>
        </row>
        <row r="188">
          <cell r="E188" t="str">
            <v>127641</v>
          </cell>
          <cell r="F188">
            <v>5</v>
          </cell>
          <cell r="G188">
            <v>10</v>
          </cell>
          <cell r="H188">
            <v>50</v>
          </cell>
          <cell r="I188" t="str">
            <v>DATES</v>
          </cell>
          <cell r="J188" t="str">
            <v>FARD</v>
          </cell>
          <cell r="K188" t="str">
            <v>Fard-C</v>
          </cell>
          <cell r="L188" t="str">
            <v>W202-Orange Ctn Change</v>
          </cell>
          <cell r="M188" t="str">
            <v>AL BARAKAH FARD DATES STANDARD C 10KG</v>
          </cell>
          <cell r="N188" t="str">
            <v>CFPL</v>
          </cell>
          <cell r="O188" t="str">
            <v>Rishi</v>
          </cell>
          <cell r="P188" t="str">
            <v>AL BARAKAH</v>
          </cell>
          <cell r="Q188">
            <v>400</v>
          </cell>
          <cell r="R188">
            <v>10000</v>
          </cell>
          <cell r="S188">
            <v>8</v>
          </cell>
          <cell r="T188" t="str">
            <v>0-30 Days</v>
          </cell>
          <cell r="U188">
            <v>0</v>
          </cell>
          <cell r="V188" t="str">
            <v>nan-nan, nan-nan, nan-nan, nan-nan, nan-nan</v>
          </cell>
        </row>
        <row r="189">
          <cell r="E189"/>
          <cell r="F189">
            <v>1124</v>
          </cell>
          <cell r="G189">
            <v>10</v>
          </cell>
          <cell r="H189">
            <v>11240</v>
          </cell>
          <cell r="I189" t="str">
            <v>dates</v>
          </cell>
          <cell r="J189" t="str">
            <v>khalas</v>
          </cell>
          <cell r="K189"/>
          <cell r="L189"/>
          <cell r="M189" t="str">
            <v>wet dates khalas</v>
          </cell>
          <cell r="N189" t="str">
            <v>CFPL</v>
          </cell>
          <cell r="O189" t="str">
            <v>Rishi</v>
          </cell>
          <cell r="P189" t="str">
            <v>AAT IMPEX</v>
          </cell>
          <cell r="Q189">
            <v>115</v>
          </cell>
          <cell r="R189">
            <v>1292600</v>
          </cell>
          <cell r="S189">
            <v>26</v>
          </cell>
          <cell r="T189" t="str">
            <v>0-30 Days</v>
          </cell>
          <cell r="U189">
            <v>1124</v>
          </cell>
          <cell r="V189" t="str">
            <v>69342703-1 to 69342703-1124</v>
          </cell>
        </row>
        <row r="190">
          <cell r="E190"/>
          <cell r="F190">
            <v>1</v>
          </cell>
          <cell r="G190">
            <v>7</v>
          </cell>
          <cell r="H190">
            <v>7</v>
          </cell>
          <cell r="I190" t="str">
            <v>dates</v>
          </cell>
          <cell r="J190" t="str">
            <v>khalas</v>
          </cell>
          <cell r="K190"/>
          <cell r="L190"/>
          <cell r="M190" t="str">
            <v>wet dates khalas</v>
          </cell>
          <cell r="N190" t="str">
            <v>CFPL</v>
          </cell>
          <cell r="O190" t="str">
            <v>Rishi</v>
          </cell>
          <cell r="P190" t="str">
            <v>AAT Impex Private Limited</v>
          </cell>
          <cell r="Q190"/>
          <cell r="R190">
            <v>0</v>
          </cell>
          <cell r="S190">
            <v>22</v>
          </cell>
          <cell r="T190" t="str">
            <v>0-30 Days</v>
          </cell>
          <cell r="U190">
            <v>1</v>
          </cell>
          <cell r="V190" t="str">
            <v>12971731-357</v>
          </cell>
        </row>
        <row r="191">
          <cell r="E191"/>
          <cell r="F191">
            <v>4</v>
          </cell>
          <cell r="G191">
            <v>7.7</v>
          </cell>
          <cell r="H191">
            <v>30.8</v>
          </cell>
          <cell r="I191" t="str">
            <v>dates</v>
          </cell>
          <cell r="J191" t="str">
            <v>khalas</v>
          </cell>
          <cell r="K191"/>
          <cell r="L191"/>
          <cell r="M191" t="str">
            <v>wet dates khalas</v>
          </cell>
          <cell r="N191" t="str">
            <v>CFPL</v>
          </cell>
          <cell r="O191" t="str">
            <v>Rishi</v>
          </cell>
          <cell r="P191" t="str">
            <v>AAT Impex Private Limited</v>
          </cell>
          <cell r="Q191"/>
          <cell r="R191">
            <v>0</v>
          </cell>
          <cell r="S191">
            <v>22</v>
          </cell>
          <cell r="T191" t="str">
            <v>0-30 Days</v>
          </cell>
          <cell r="U191">
            <v>4</v>
          </cell>
          <cell r="V191" t="str">
            <v>12969146-338, 12969283-339, 12969502-341, 12969405-340</v>
          </cell>
        </row>
        <row r="192">
          <cell r="E192"/>
          <cell r="F192">
            <v>1</v>
          </cell>
          <cell r="G192">
            <v>8.6</v>
          </cell>
          <cell r="H192">
            <v>8.6</v>
          </cell>
          <cell r="I192" t="str">
            <v>dates</v>
          </cell>
          <cell r="J192" t="str">
            <v>khalas</v>
          </cell>
          <cell r="K192"/>
          <cell r="L192"/>
          <cell r="M192" t="str">
            <v>wet dates khalas</v>
          </cell>
          <cell r="N192" t="str">
            <v>CFPL</v>
          </cell>
          <cell r="O192" t="str">
            <v>Rishi</v>
          </cell>
          <cell r="P192" t="str">
            <v>AAT Impex Private Limited</v>
          </cell>
          <cell r="Q192"/>
          <cell r="R192">
            <v>0</v>
          </cell>
          <cell r="S192">
            <v>22</v>
          </cell>
          <cell r="T192" t="str">
            <v>0-30 Days</v>
          </cell>
          <cell r="U192">
            <v>1</v>
          </cell>
          <cell r="V192" t="str">
            <v>12971931-358</v>
          </cell>
        </row>
        <row r="193">
          <cell r="E193"/>
          <cell r="F193">
            <v>1</v>
          </cell>
          <cell r="G193">
            <v>8.8000000000000007</v>
          </cell>
          <cell r="H193">
            <v>8.8000000000000007</v>
          </cell>
          <cell r="I193" t="str">
            <v>dates</v>
          </cell>
          <cell r="J193" t="str">
            <v>khalas</v>
          </cell>
          <cell r="K193"/>
          <cell r="L193"/>
          <cell r="M193" t="str">
            <v>wet dates khalas</v>
          </cell>
          <cell r="N193" t="str">
            <v>CFPL</v>
          </cell>
          <cell r="O193" t="str">
            <v>Rishi</v>
          </cell>
          <cell r="P193" t="str">
            <v>AAT Impex Private Limited</v>
          </cell>
          <cell r="Q193"/>
          <cell r="R193">
            <v>0</v>
          </cell>
          <cell r="S193">
            <v>22</v>
          </cell>
          <cell r="T193" t="str">
            <v>0-30 Days</v>
          </cell>
          <cell r="U193">
            <v>1</v>
          </cell>
          <cell r="V193" t="str">
            <v>12971496-356</v>
          </cell>
        </row>
        <row r="194">
          <cell r="E194"/>
          <cell r="F194">
            <v>2</v>
          </cell>
          <cell r="G194">
            <v>9</v>
          </cell>
          <cell r="H194">
            <v>18</v>
          </cell>
          <cell r="I194" t="str">
            <v>dates</v>
          </cell>
          <cell r="J194" t="str">
            <v>khalas</v>
          </cell>
          <cell r="K194"/>
          <cell r="L194"/>
          <cell r="M194" t="str">
            <v>wet dates khalas</v>
          </cell>
          <cell r="N194" t="str">
            <v>CFPL</v>
          </cell>
          <cell r="O194" t="str">
            <v>Rishi</v>
          </cell>
          <cell r="P194" t="str">
            <v>AAT Impex Private Limited</v>
          </cell>
          <cell r="Q194"/>
          <cell r="R194">
            <v>0</v>
          </cell>
          <cell r="S194">
            <v>22</v>
          </cell>
          <cell r="T194" t="str">
            <v>0-30 Days</v>
          </cell>
          <cell r="U194">
            <v>2</v>
          </cell>
          <cell r="V194" t="str">
            <v>12969723-343, 12969583-342</v>
          </cell>
        </row>
        <row r="195">
          <cell r="E195"/>
          <cell r="F195">
            <v>1</v>
          </cell>
          <cell r="G195">
            <v>9.1</v>
          </cell>
          <cell r="H195">
            <v>9.1</v>
          </cell>
          <cell r="I195" t="str">
            <v>dates</v>
          </cell>
          <cell r="J195" t="str">
            <v>khalas</v>
          </cell>
          <cell r="K195"/>
          <cell r="L195"/>
          <cell r="M195" t="str">
            <v>wet dates khalas</v>
          </cell>
          <cell r="N195" t="str">
            <v>CFPL</v>
          </cell>
          <cell r="O195" t="str">
            <v>Rishi</v>
          </cell>
          <cell r="P195" t="str">
            <v>AAT Impex Private Limited</v>
          </cell>
          <cell r="Q195"/>
          <cell r="R195">
            <v>0</v>
          </cell>
          <cell r="S195">
            <v>22</v>
          </cell>
          <cell r="T195" t="str">
            <v>0-30 Days</v>
          </cell>
          <cell r="U195">
            <v>1</v>
          </cell>
          <cell r="V195" t="str">
            <v>12969826-344</v>
          </cell>
        </row>
        <row r="196">
          <cell r="E196"/>
          <cell r="F196">
            <v>1</v>
          </cell>
          <cell r="G196">
            <v>9.1999999999999993</v>
          </cell>
          <cell r="H196">
            <v>9.1999999999999993</v>
          </cell>
          <cell r="I196" t="str">
            <v>dates</v>
          </cell>
          <cell r="J196" t="str">
            <v>khalas</v>
          </cell>
          <cell r="K196"/>
          <cell r="L196"/>
          <cell r="M196" t="str">
            <v>wet dates khalas</v>
          </cell>
          <cell r="N196" t="str">
            <v>CFPL</v>
          </cell>
          <cell r="O196" t="str">
            <v>Rishi</v>
          </cell>
          <cell r="P196" t="str">
            <v>AAT Impex Private Limited</v>
          </cell>
          <cell r="Q196"/>
          <cell r="R196">
            <v>0</v>
          </cell>
          <cell r="S196">
            <v>22</v>
          </cell>
          <cell r="T196" t="str">
            <v>0-30 Days</v>
          </cell>
          <cell r="U196">
            <v>1</v>
          </cell>
          <cell r="V196" t="str">
            <v>12971237-354</v>
          </cell>
        </row>
        <row r="197">
          <cell r="E197"/>
          <cell r="F197">
            <v>1</v>
          </cell>
          <cell r="G197">
            <v>9.6</v>
          </cell>
          <cell r="H197">
            <v>9.6</v>
          </cell>
          <cell r="I197" t="str">
            <v>dates</v>
          </cell>
          <cell r="J197" t="str">
            <v>khalas</v>
          </cell>
          <cell r="K197"/>
          <cell r="L197"/>
          <cell r="M197" t="str">
            <v>wet dates khalas</v>
          </cell>
          <cell r="N197" t="str">
            <v>CFPL</v>
          </cell>
          <cell r="O197" t="str">
            <v>Rishi</v>
          </cell>
          <cell r="P197" t="str">
            <v>AAT Impex Private Limited</v>
          </cell>
          <cell r="Q197"/>
          <cell r="R197">
            <v>0</v>
          </cell>
          <cell r="S197">
            <v>22</v>
          </cell>
          <cell r="T197" t="str">
            <v>0-30 Days</v>
          </cell>
          <cell r="U197">
            <v>1</v>
          </cell>
          <cell r="V197" t="str">
            <v>12970807-352</v>
          </cell>
        </row>
        <row r="198">
          <cell r="E198"/>
          <cell r="F198">
            <v>1</v>
          </cell>
          <cell r="G198">
            <v>9.6999999999999993</v>
          </cell>
          <cell r="H198">
            <v>9.6999999999999993</v>
          </cell>
          <cell r="I198" t="str">
            <v>dates</v>
          </cell>
          <cell r="J198" t="str">
            <v>khalas</v>
          </cell>
          <cell r="K198"/>
          <cell r="L198"/>
          <cell r="M198" t="str">
            <v>wet dates khalas</v>
          </cell>
          <cell r="N198" t="str">
            <v>CFPL</v>
          </cell>
          <cell r="O198" t="str">
            <v>Rishi</v>
          </cell>
          <cell r="P198" t="str">
            <v>AAT Impex Private Limited</v>
          </cell>
          <cell r="Q198"/>
          <cell r="R198">
            <v>0</v>
          </cell>
          <cell r="S198">
            <v>22</v>
          </cell>
          <cell r="T198" t="str">
            <v>0-30 Days</v>
          </cell>
          <cell r="U198">
            <v>1</v>
          </cell>
          <cell r="V198" t="str">
            <v>12970687-351</v>
          </cell>
        </row>
        <row r="199">
          <cell r="E199"/>
          <cell r="F199">
            <v>1</v>
          </cell>
          <cell r="G199">
            <v>9.9</v>
          </cell>
          <cell r="H199">
            <v>9.9</v>
          </cell>
          <cell r="I199" t="str">
            <v>dates</v>
          </cell>
          <cell r="J199" t="str">
            <v>khalas</v>
          </cell>
          <cell r="K199"/>
          <cell r="L199"/>
          <cell r="M199" t="str">
            <v>wet dates khalas</v>
          </cell>
          <cell r="N199" t="str">
            <v>CFPL</v>
          </cell>
          <cell r="O199" t="str">
            <v>Rishi</v>
          </cell>
          <cell r="P199" t="str">
            <v>AAT Impex Private Limited</v>
          </cell>
          <cell r="Q199"/>
          <cell r="R199">
            <v>0</v>
          </cell>
          <cell r="S199">
            <v>22</v>
          </cell>
          <cell r="T199" t="str">
            <v>0-30 Days</v>
          </cell>
          <cell r="U199">
            <v>1</v>
          </cell>
          <cell r="V199" t="str">
            <v>12971138-353</v>
          </cell>
        </row>
        <row r="200">
          <cell r="E200"/>
          <cell r="F200">
            <v>318</v>
          </cell>
          <cell r="G200">
            <v>10</v>
          </cell>
          <cell r="H200">
            <v>3180</v>
          </cell>
          <cell r="I200" t="str">
            <v>dates</v>
          </cell>
          <cell r="J200" t="str">
            <v>khalas</v>
          </cell>
          <cell r="K200"/>
          <cell r="L200"/>
          <cell r="M200" t="str">
            <v>wet dates khalas</v>
          </cell>
          <cell r="N200" t="str">
            <v>CFPL</v>
          </cell>
          <cell r="O200" t="str">
            <v>Rishi</v>
          </cell>
          <cell r="P200" t="str">
            <v>AAT Impex Private Limited</v>
          </cell>
          <cell r="Q200"/>
          <cell r="R200">
            <v>0</v>
          </cell>
          <cell r="S200">
            <v>22</v>
          </cell>
          <cell r="T200" t="str">
            <v>0-30 Days</v>
          </cell>
          <cell r="U200">
            <v>318</v>
          </cell>
          <cell r="V200" t="str">
            <v>10361157-1 to 10361157-318</v>
          </cell>
        </row>
        <row r="201">
          <cell r="E201"/>
          <cell r="F201">
            <v>10</v>
          </cell>
          <cell r="G201">
            <v>10.199999999999999</v>
          </cell>
          <cell r="H201">
            <v>102</v>
          </cell>
          <cell r="I201" t="str">
            <v>dates</v>
          </cell>
          <cell r="J201" t="str">
            <v>khalas</v>
          </cell>
          <cell r="K201"/>
          <cell r="L201"/>
          <cell r="M201" t="str">
            <v>wet dates khalas</v>
          </cell>
          <cell r="N201" t="str">
            <v>CFPL</v>
          </cell>
          <cell r="O201" t="str">
            <v>Rishi</v>
          </cell>
          <cell r="P201" t="str">
            <v>AAT Impex Private Limited</v>
          </cell>
          <cell r="Q201"/>
          <cell r="R201">
            <v>0</v>
          </cell>
          <cell r="S201">
            <v>22</v>
          </cell>
          <cell r="T201" t="str">
            <v>0-30 Days</v>
          </cell>
          <cell r="U201">
            <v>10</v>
          </cell>
          <cell r="V201" t="str">
            <v>12968129-329, 12968029-328, 12968561-333, 12968660-334, 12968467-332, 12969052-337, 12968363-331, 12968887-336, 12968245-330, 12968762-335</v>
          </cell>
        </row>
        <row r="202">
          <cell r="E202"/>
          <cell r="F202">
            <v>11</v>
          </cell>
          <cell r="G202">
            <v>10.3</v>
          </cell>
          <cell r="H202">
            <v>113.3</v>
          </cell>
          <cell r="I202" t="str">
            <v>dates</v>
          </cell>
          <cell r="J202" t="str">
            <v>khalas</v>
          </cell>
          <cell r="K202"/>
          <cell r="L202"/>
          <cell r="M202" t="str">
            <v>wet dates khalas</v>
          </cell>
          <cell r="N202" t="str">
            <v>CFPL</v>
          </cell>
          <cell r="O202" t="str">
            <v>Rishi</v>
          </cell>
          <cell r="P202" t="str">
            <v>AAT Impex Private Limited</v>
          </cell>
          <cell r="Q202"/>
          <cell r="R202">
            <v>0</v>
          </cell>
          <cell r="S202">
            <v>22</v>
          </cell>
          <cell r="T202" t="str">
            <v>0-30 Days</v>
          </cell>
          <cell r="U202">
            <v>11</v>
          </cell>
          <cell r="V202" t="str">
            <v>12755644-323, 12755055-319, 12755854-324, 12970493-349, 12755444-322, 12757020-327, 12755255-321, 12756935-326, 12755135-320, 12755967-325, 12970571-350</v>
          </cell>
        </row>
        <row r="203">
          <cell r="E203"/>
          <cell r="F203">
            <v>3</v>
          </cell>
          <cell r="G203">
            <v>10.4</v>
          </cell>
          <cell r="H203">
            <v>31.2</v>
          </cell>
          <cell r="I203" t="str">
            <v>dates</v>
          </cell>
          <cell r="J203" t="str">
            <v>khalas</v>
          </cell>
          <cell r="K203"/>
          <cell r="L203"/>
          <cell r="M203" t="str">
            <v>wet dates khalas</v>
          </cell>
          <cell r="N203" t="str">
            <v>CFPL</v>
          </cell>
          <cell r="O203" t="str">
            <v>Rishi</v>
          </cell>
          <cell r="P203" t="str">
            <v>AAT Impex Private Limited</v>
          </cell>
          <cell r="Q203"/>
          <cell r="R203">
            <v>0</v>
          </cell>
          <cell r="S203">
            <v>22</v>
          </cell>
          <cell r="T203" t="str">
            <v>0-30 Days</v>
          </cell>
          <cell r="U203">
            <v>3</v>
          </cell>
          <cell r="V203" t="str">
            <v>12970242-347, 12970125-346, 12969968-345</v>
          </cell>
        </row>
        <row r="204">
          <cell r="E204"/>
          <cell r="F204">
            <v>1</v>
          </cell>
          <cell r="G204">
            <v>10.8</v>
          </cell>
          <cell r="H204">
            <v>10.8</v>
          </cell>
          <cell r="I204" t="str">
            <v>dates</v>
          </cell>
          <cell r="J204" t="str">
            <v>khalas</v>
          </cell>
          <cell r="K204"/>
          <cell r="L204"/>
          <cell r="M204" t="str">
            <v>wet dates khalas</v>
          </cell>
          <cell r="N204" t="str">
            <v>CFPL</v>
          </cell>
          <cell r="O204" t="str">
            <v>Rishi</v>
          </cell>
          <cell r="P204" t="str">
            <v>AAT Impex Private Limited</v>
          </cell>
          <cell r="Q204"/>
          <cell r="R204">
            <v>0</v>
          </cell>
          <cell r="S204">
            <v>22</v>
          </cell>
          <cell r="T204" t="str">
            <v>0-30 Days</v>
          </cell>
          <cell r="U204">
            <v>1</v>
          </cell>
          <cell r="V204" t="str">
            <v>12970364-348</v>
          </cell>
        </row>
        <row r="205">
          <cell r="E205"/>
          <cell r="F205">
            <v>1</v>
          </cell>
          <cell r="G205">
            <v>11.4</v>
          </cell>
          <cell r="H205">
            <v>11.4</v>
          </cell>
          <cell r="I205" t="str">
            <v>dates</v>
          </cell>
          <cell r="J205" t="str">
            <v>khalas</v>
          </cell>
          <cell r="K205"/>
          <cell r="L205"/>
          <cell r="M205" t="str">
            <v>wet dates khalas</v>
          </cell>
          <cell r="N205" t="str">
            <v>CFPL</v>
          </cell>
          <cell r="O205" t="str">
            <v>Rishi</v>
          </cell>
          <cell r="P205" t="str">
            <v>AAT Impex Private Limited</v>
          </cell>
          <cell r="Q205"/>
          <cell r="R205">
            <v>0</v>
          </cell>
          <cell r="S205">
            <v>22</v>
          </cell>
          <cell r="T205" t="str">
            <v>0-30 Days</v>
          </cell>
          <cell r="U205">
            <v>1</v>
          </cell>
          <cell r="V205" t="str">
            <v>12971328-355</v>
          </cell>
        </row>
        <row r="206">
          <cell r="E206" t="str">
            <v>127487</v>
          </cell>
          <cell r="F206">
            <v>375</v>
          </cell>
          <cell r="G206">
            <v>6</v>
          </cell>
          <cell r="H206">
            <v>2250</v>
          </cell>
          <cell r="I206" t="str">
            <v>DATES</v>
          </cell>
          <cell r="J206" t="str">
            <v>KIMIA</v>
          </cell>
          <cell r="K206" t="str">
            <v>Mazafati-Shrink Wrap</v>
          </cell>
          <cell r="L206" t="str">
            <v>Grade- B W202</v>
          </cell>
          <cell r="M206" t="str">
            <v>KIMIA GRADE B</v>
          </cell>
          <cell r="N206" t="str">
            <v>CFPL</v>
          </cell>
          <cell r="O206" t="str">
            <v>Rishi</v>
          </cell>
          <cell r="P206" t="str">
            <v>Local</v>
          </cell>
          <cell r="Q206">
            <v>216.66</v>
          </cell>
          <cell r="R206">
            <v>487485</v>
          </cell>
          <cell r="S206">
            <v>15</v>
          </cell>
          <cell r="T206" t="str">
            <v>0-30 Days</v>
          </cell>
          <cell r="U206">
            <v>0</v>
          </cell>
          <cell r="V206" t="str">
            <v>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</v>
          </cell>
        </row>
        <row r="207">
          <cell r="E207" t="str">
            <v>1051</v>
          </cell>
          <cell r="F207">
            <v>16</v>
          </cell>
          <cell r="G207">
            <v>15</v>
          </cell>
          <cell r="H207">
            <v>240</v>
          </cell>
          <cell r="I207" t="str">
            <v>RAISIN</v>
          </cell>
          <cell r="J207" t="str">
            <v>Raisin - Indian</v>
          </cell>
          <cell r="K207" t="str">
            <v>Indian</v>
          </cell>
          <cell r="L207" t="str">
            <v>Green</v>
          </cell>
          <cell r="M207" t="str">
            <v>Indian Green Raisins</v>
          </cell>
          <cell r="N207" t="str">
            <v>CFPL</v>
          </cell>
          <cell r="O207" t="str">
            <v>Savla</v>
          </cell>
          <cell r="P207" t="str">
            <v>Local</v>
          </cell>
          <cell r="Q207">
            <v>349</v>
          </cell>
          <cell r="R207">
            <v>83760</v>
          </cell>
          <cell r="S207">
            <v>53</v>
          </cell>
          <cell r="T207" t="str">
            <v>31-60 Days</v>
          </cell>
          <cell r="U207">
            <v>16</v>
          </cell>
          <cell r="V207" t="str">
            <v>01601000-1 to 01601000-16</v>
          </cell>
        </row>
        <row r="208">
          <cell r="E208" t="str">
            <v>1052</v>
          </cell>
          <cell r="F208">
            <v>23</v>
          </cell>
          <cell r="G208">
            <v>15</v>
          </cell>
          <cell r="H208">
            <v>345</v>
          </cell>
          <cell r="I208" t="str">
            <v>RAISIN</v>
          </cell>
          <cell r="J208" t="str">
            <v>Raisin - Indian</v>
          </cell>
          <cell r="K208" t="str">
            <v>Indian</v>
          </cell>
          <cell r="L208" t="str">
            <v>Green</v>
          </cell>
          <cell r="M208" t="str">
            <v>Indian Green Raisins</v>
          </cell>
          <cell r="N208" t="str">
            <v>CFPL</v>
          </cell>
          <cell r="O208" t="str">
            <v>Savla</v>
          </cell>
          <cell r="P208" t="str">
            <v>Local</v>
          </cell>
          <cell r="Q208">
            <v>349</v>
          </cell>
          <cell r="R208">
            <v>120405</v>
          </cell>
          <cell r="S208">
            <v>53</v>
          </cell>
          <cell r="T208" t="str">
            <v>31-60 Days</v>
          </cell>
          <cell r="U208">
            <v>23</v>
          </cell>
          <cell r="V208" t="str">
            <v>01602000-1 to 01602000-23</v>
          </cell>
        </row>
        <row r="209">
          <cell r="E209" t="str">
            <v>1053</v>
          </cell>
          <cell r="F209">
            <v>17</v>
          </cell>
          <cell r="G209">
            <v>15</v>
          </cell>
          <cell r="H209">
            <v>255</v>
          </cell>
          <cell r="I209" t="str">
            <v>RAISIN</v>
          </cell>
          <cell r="J209" t="str">
            <v>Raisin - Indian</v>
          </cell>
          <cell r="K209" t="str">
            <v>Indian</v>
          </cell>
          <cell r="L209" t="str">
            <v>Green</v>
          </cell>
          <cell r="M209" t="str">
            <v>Indian Green Raisins</v>
          </cell>
          <cell r="N209" t="str">
            <v>CFPL</v>
          </cell>
          <cell r="O209" t="str">
            <v>Savla</v>
          </cell>
          <cell r="P209" t="str">
            <v>Local</v>
          </cell>
          <cell r="Q209">
            <v>349</v>
          </cell>
          <cell r="R209">
            <v>88995</v>
          </cell>
          <cell r="S209">
            <v>53</v>
          </cell>
          <cell r="T209" t="str">
            <v>31-60 Days</v>
          </cell>
          <cell r="U209">
            <v>17</v>
          </cell>
          <cell r="V209" t="str">
            <v>01603000-1 to 01603000-17</v>
          </cell>
        </row>
        <row r="210">
          <cell r="E210" t="str">
            <v>1054</v>
          </cell>
          <cell r="F210">
            <v>1</v>
          </cell>
          <cell r="G210">
            <v>15</v>
          </cell>
          <cell r="H210">
            <v>15</v>
          </cell>
          <cell r="I210" t="str">
            <v>RAISIN</v>
          </cell>
          <cell r="J210" t="str">
            <v>Raisin - Indian</v>
          </cell>
          <cell r="K210" t="str">
            <v>Indian</v>
          </cell>
          <cell r="L210" t="str">
            <v>Green</v>
          </cell>
          <cell r="M210" t="str">
            <v>Indian Green Raisins</v>
          </cell>
          <cell r="N210" t="str">
            <v>CFPL</v>
          </cell>
          <cell r="O210" t="str">
            <v>Savla</v>
          </cell>
          <cell r="P210" t="str">
            <v>Local</v>
          </cell>
          <cell r="Q210">
            <v>349</v>
          </cell>
          <cell r="R210">
            <v>5235</v>
          </cell>
          <cell r="S210">
            <v>53</v>
          </cell>
          <cell r="T210" t="str">
            <v>31-60 Days</v>
          </cell>
          <cell r="U210">
            <v>1</v>
          </cell>
          <cell r="V210" t="str">
            <v>01604000-1</v>
          </cell>
        </row>
        <row r="211">
          <cell r="E211" t="str">
            <v>1057</v>
          </cell>
          <cell r="F211">
            <v>8</v>
          </cell>
          <cell r="G211">
            <v>15</v>
          </cell>
          <cell r="H211">
            <v>120</v>
          </cell>
          <cell r="I211" t="str">
            <v>RAISIN</v>
          </cell>
          <cell r="J211" t="str">
            <v>Raisin - Indian</v>
          </cell>
          <cell r="K211" t="str">
            <v>Indian</v>
          </cell>
          <cell r="L211" t="str">
            <v>Green</v>
          </cell>
          <cell r="M211" t="str">
            <v>Indian Green Raisins</v>
          </cell>
          <cell r="N211" t="str">
            <v>CFPL</v>
          </cell>
          <cell r="O211" t="str">
            <v>Savla</v>
          </cell>
          <cell r="P211" t="str">
            <v>Local</v>
          </cell>
          <cell r="Q211">
            <v>349</v>
          </cell>
          <cell r="R211">
            <v>41880</v>
          </cell>
          <cell r="S211">
            <v>53</v>
          </cell>
          <cell r="T211" t="str">
            <v>31-60 Days</v>
          </cell>
          <cell r="U211">
            <v>8</v>
          </cell>
          <cell r="V211" t="str">
            <v>01605000-1 to 01605000-8</v>
          </cell>
        </row>
        <row r="212">
          <cell r="E212" t="str">
            <v>1058</v>
          </cell>
          <cell r="F212">
            <v>52</v>
          </cell>
          <cell r="G212">
            <v>15</v>
          </cell>
          <cell r="H212">
            <v>780</v>
          </cell>
          <cell r="I212" t="str">
            <v>RAISIN</v>
          </cell>
          <cell r="J212" t="str">
            <v>Raisin - Indian</v>
          </cell>
          <cell r="K212" t="str">
            <v>Indian</v>
          </cell>
          <cell r="L212" t="str">
            <v>Green</v>
          </cell>
          <cell r="M212" t="str">
            <v>Indian Green Raisins</v>
          </cell>
          <cell r="N212" t="str">
            <v>CFPL</v>
          </cell>
          <cell r="O212" t="str">
            <v>Savla</v>
          </cell>
          <cell r="P212" t="str">
            <v>Local</v>
          </cell>
          <cell r="Q212">
            <v>349</v>
          </cell>
          <cell r="R212">
            <v>272220</v>
          </cell>
          <cell r="S212">
            <v>53</v>
          </cell>
          <cell r="T212" t="str">
            <v>31-60 Days</v>
          </cell>
          <cell r="U212">
            <v>52</v>
          </cell>
          <cell r="V212" t="str">
            <v>01606000-1 to 01606000-52</v>
          </cell>
        </row>
        <row r="213">
          <cell r="E213" t="str">
            <v>129048</v>
          </cell>
          <cell r="F213">
            <v>14</v>
          </cell>
          <cell r="G213">
            <v>15</v>
          </cell>
          <cell r="H213">
            <v>210</v>
          </cell>
          <cell r="I213" t="str">
            <v>RAISIN</v>
          </cell>
          <cell r="J213" t="str">
            <v>Raisin - Indian</v>
          </cell>
          <cell r="K213" t="str">
            <v>Indian</v>
          </cell>
          <cell r="L213" t="str">
            <v>Raisin</v>
          </cell>
          <cell r="M213" t="str">
            <v>Indian Green Raisins</v>
          </cell>
          <cell r="N213" t="str">
            <v>CFPL</v>
          </cell>
          <cell r="O213" t="str">
            <v>Savla</v>
          </cell>
          <cell r="P213" t="str">
            <v>0</v>
          </cell>
          <cell r="Q213">
            <v>295</v>
          </cell>
          <cell r="R213">
            <v>61950</v>
          </cell>
          <cell r="S213">
            <v>489</v>
          </cell>
          <cell r="T213" t="str">
            <v>366-730 Days</v>
          </cell>
          <cell r="U213">
            <v>14</v>
          </cell>
          <cell r="V213" t="str">
            <v>90513000-1 to 90513000-14</v>
          </cell>
        </row>
        <row r="214">
          <cell r="E214" t="str">
            <v>133878</v>
          </cell>
          <cell r="F214">
            <v>26</v>
          </cell>
          <cell r="G214">
            <v>13.6</v>
          </cell>
          <cell r="H214">
            <v>353.6</v>
          </cell>
          <cell r="I214" t="str">
            <v>PREMIUM NUTS</v>
          </cell>
          <cell r="J214" t="str">
            <v>Pecan Nuts</v>
          </cell>
          <cell r="K214" t="str">
            <v>Pecan</v>
          </cell>
          <cell r="L214" t="str">
            <v>Tukda</v>
          </cell>
          <cell r="M214" t="str">
            <v>Pecan Nuts</v>
          </cell>
          <cell r="N214" t="str">
            <v>CFPL</v>
          </cell>
          <cell r="O214" t="str">
            <v>Savla</v>
          </cell>
          <cell r="P214" t="str">
            <v>0</v>
          </cell>
          <cell r="Q214">
            <v>1380</v>
          </cell>
          <cell r="R214">
            <v>487968</v>
          </cell>
          <cell r="S214">
            <v>451</v>
          </cell>
          <cell r="T214" t="str">
            <v>366-730 Days</v>
          </cell>
          <cell r="U214">
            <v>26</v>
          </cell>
          <cell r="V214" t="str">
            <v>90516000-1 to 90516000-26</v>
          </cell>
        </row>
        <row r="215">
          <cell r="E215" t="str">
            <v>1344</v>
          </cell>
          <cell r="F215">
            <v>27</v>
          </cell>
          <cell r="G215">
            <v>11.34</v>
          </cell>
          <cell r="H215">
            <v>306.18</v>
          </cell>
          <cell r="I215" t="str">
            <v>PREMIUM NUTS</v>
          </cell>
          <cell r="J215" t="str">
            <v>Macadamia Nuts</v>
          </cell>
          <cell r="K215" t="str">
            <v>Roasted Style-6</v>
          </cell>
          <cell r="L215" t="str">
            <v>Size-6</v>
          </cell>
          <cell r="M215" t="str">
            <v>Macadamia Roasted - Size 6</v>
          </cell>
          <cell r="N215" t="str">
            <v>CFPL</v>
          </cell>
          <cell r="O215" t="str">
            <v>Savla</v>
          </cell>
          <cell r="P215" t="str">
            <v>0</v>
          </cell>
          <cell r="Q215">
            <v>900</v>
          </cell>
          <cell r="R215">
            <v>275562</v>
          </cell>
          <cell r="S215">
            <v>51</v>
          </cell>
          <cell r="T215" t="str">
            <v>31-60 Days</v>
          </cell>
          <cell r="U215">
            <v>27</v>
          </cell>
          <cell r="V215" t="str">
            <v>74401000-2 to 74401000-28</v>
          </cell>
        </row>
        <row r="216">
          <cell r="E216" t="str">
            <v>134478</v>
          </cell>
          <cell r="F216">
            <v>5</v>
          </cell>
          <cell r="G216">
            <v>13.6</v>
          </cell>
          <cell r="H216">
            <v>68</v>
          </cell>
          <cell r="I216" t="str">
            <v>PREMIUM NUTS</v>
          </cell>
          <cell r="J216" t="str">
            <v>Pecan Nuts</v>
          </cell>
          <cell r="K216" t="str">
            <v>Pecan</v>
          </cell>
          <cell r="L216" t="str">
            <v>Tukda</v>
          </cell>
          <cell r="M216" t="str">
            <v>Pecan Nuts</v>
          </cell>
          <cell r="N216" t="str">
            <v>CFPL</v>
          </cell>
          <cell r="O216" t="str">
            <v>Savla</v>
          </cell>
          <cell r="P216" t="str">
            <v>0</v>
          </cell>
          <cell r="Q216">
            <v>1380</v>
          </cell>
          <cell r="R216">
            <v>93840</v>
          </cell>
          <cell r="S216">
            <v>446</v>
          </cell>
          <cell r="T216" t="str">
            <v>366-730 Days</v>
          </cell>
          <cell r="U216">
            <v>5</v>
          </cell>
          <cell r="V216" t="str">
            <v>90517000-1 to 90517000-5</v>
          </cell>
        </row>
        <row r="217">
          <cell r="E217" t="str">
            <v>134856</v>
          </cell>
          <cell r="F217">
            <v>4</v>
          </cell>
          <cell r="G217">
            <v>13.6</v>
          </cell>
          <cell r="H217">
            <v>54.4</v>
          </cell>
          <cell r="I217" t="str">
            <v>PREMIUM NUTS</v>
          </cell>
          <cell r="J217" t="str">
            <v>Pecan Nuts</v>
          </cell>
          <cell r="K217" t="str">
            <v>Pecan</v>
          </cell>
          <cell r="L217" t="str">
            <v>Tukda</v>
          </cell>
          <cell r="M217" t="str">
            <v>Pecan Nuts</v>
          </cell>
          <cell r="N217" t="str">
            <v>CFPL</v>
          </cell>
          <cell r="O217" t="str">
            <v>Savla</v>
          </cell>
          <cell r="P217" t="str">
            <v>0</v>
          </cell>
          <cell r="Q217">
            <v>1380</v>
          </cell>
          <cell r="R217">
            <v>75072</v>
          </cell>
          <cell r="S217">
            <v>443</v>
          </cell>
          <cell r="T217" t="str">
            <v>366-730 Days</v>
          </cell>
          <cell r="U217">
            <v>4</v>
          </cell>
          <cell r="V217" t="str">
            <v>90518000-1 to 90518000-4</v>
          </cell>
        </row>
        <row r="218">
          <cell r="E218" t="str">
            <v>136258</v>
          </cell>
          <cell r="F218">
            <v>5</v>
          </cell>
          <cell r="G218">
            <v>15</v>
          </cell>
          <cell r="H218">
            <v>75</v>
          </cell>
          <cell r="I218" t="str">
            <v>RAISIN</v>
          </cell>
          <cell r="J218" t="str">
            <v>Raisin - Indian</v>
          </cell>
          <cell r="K218" t="str">
            <v>Indian</v>
          </cell>
          <cell r="L218" t="str">
            <v>Raisin</v>
          </cell>
          <cell r="M218" t="str">
            <v>Indian Green Raisins</v>
          </cell>
          <cell r="N218" t="str">
            <v>CFPL</v>
          </cell>
          <cell r="O218" t="str">
            <v>Savla</v>
          </cell>
          <cell r="P218" t="str">
            <v>0</v>
          </cell>
          <cell r="Q218">
            <v>295</v>
          </cell>
          <cell r="R218">
            <v>22125</v>
          </cell>
          <cell r="S218">
            <v>430</v>
          </cell>
          <cell r="T218" t="str">
            <v>366-730 Days</v>
          </cell>
          <cell r="U218">
            <v>5</v>
          </cell>
          <cell r="V218" t="str">
            <v>90520000-1 to 90520000-5</v>
          </cell>
        </row>
        <row r="219">
          <cell r="E219" t="str">
            <v>137391</v>
          </cell>
          <cell r="F219">
            <v>35</v>
          </cell>
          <cell r="G219">
            <v>11.34</v>
          </cell>
          <cell r="H219">
            <v>396.9</v>
          </cell>
          <cell r="I219" t="str">
            <v>PREMIUM NUTS</v>
          </cell>
          <cell r="J219" t="str">
            <v>Macadamia Nuts</v>
          </cell>
          <cell r="K219" t="str">
            <v>Roasted Style-4L</v>
          </cell>
          <cell r="L219" t="str">
            <v>Size-4L</v>
          </cell>
          <cell r="M219" t="str">
            <v>Macadamia Roasted - Size 4L</v>
          </cell>
          <cell r="N219" t="str">
            <v>CFPL</v>
          </cell>
          <cell r="O219" t="str">
            <v>Savla</v>
          </cell>
          <cell r="P219" t="str">
            <v>0</v>
          </cell>
          <cell r="Q219">
            <v>1290</v>
          </cell>
          <cell r="R219">
            <v>512001</v>
          </cell>
          <cell r="S219">
            <v>421</v>
          </cell>
          <cell r="T219" t="str">
            <v>366-730 Days</v>
          </cell>
          <cell r="U219">
            <v>35</v>
          </cell>
          <cell r="V219" t="str">
            <v>90521000-2 to 90521000-36</v>
          </cell>
        </row>
        <row r="220">
          <cell r="E220" t="str">
            <v>141756</v>
          </cell>
          <cell r="F220">
            <v>11</v>
          </cell>
          <cell r="G220">
            <v>15</v>
          </cell>
          <cell r="H220">
            <v>165</v>
          </cell>
          <cell r="I220" t="str">
            <v>RAISIN</v>
          </cell>
          <cell r="J220" t="str">
            <v>Raisin - Indian</v>
          </cell>
          <cell r="K220" t="str">
            <v>Indian</v>
          </cell>
          <cell r="L220" t="str">
            <v>Raisin</v>
          </cell>
          <cell r="M220" t="str">
            <v>Indian Green Raisins</v>
          </cell>
          <cell r="N220" t="str">
            <v>CFPL</v>
          </cell>
          <cell r="O220" t="str">
            <v>Savla</v>
          </cell>
          <cell r="P220" t="str">
            <v>0</v>
          </cell>
          <cell r="Q220">
            <v>288</v>
          </cell>
          <cell r="R220">
            <v>47520</v>
          </cell>
          <cell r="S220">
            <v>346</v>
          </cell>
          <cell r="T220" t="str">
            <v>181-365 Days</v>
          </cell>
          <cell r="U220">
            <v>11</v>
          </cell>
          <cell r="V220" t="str">
            <v>90527000-1 to 90527000-11</v>
          </cell>
        </row>
        <row r="221">
          <cell r="E221" t="str">
            <v>149845</v>
          </cell>
          <cell r="F221">
            <v>5</v>
          </cell>
          <cell r="G221">
            <v>13.6</v>
          </cell>
          <cell r="H221">
            <v>68</v>
          </cell>
          <cell r="I221" t="str">
            <v>PREMIUM NUTS</v>
          </cell>
          <cell r="J221" t="str">
            <v>Pecan Nuts</v>
          </cell>
          <cell r="K221" t="str">
            <v>Pecan</v>
          </cell>
          <cell r="L221" t="str">
            <v>Kernels</v>
          </cell>
          <cell r="M221" t="str">
            <v>Pecan Nuts</v>
          </cell>
          <cell r="N221" t="str">
            <v>CFPL</v>
          </cell>
          <cell r="O221" t="str">
            <v>Savla</v>
          </cell>
          <cell r="P221" t="str">
            <v>0</v>
          </cell>
          <cell r="Q221">
            <v>1380</v>
          </cell>
          <cell r="R221">
            <v>93840</v>
          </cell>
          <cell r="S221">
            <v>310</v>
          </cell>
          <cell r="T221" t="str">
            <v>181-365 Days</v>
          </cell>
          <cell r="U221">
            <v>5</v>
          </cell>
          <cell r="V221" t="str">
            <v>90528000-1 to 90528000-5</v>
          </cell>
        </row>
        <row r="222">
          <cell r="E222" t="str">
            <v>150930</v>
          </cell>
          <cell r="F222">
            <v>1</v>
          </cell>
          <cell r="G222">
            <v>10</v>
          </cell>
          <cell r="H222">
            <v>10</v>
          </cell>
          <cell r="I222" t="str">
            <v>PREMIUM NUTS</v>
          </cell>
          <cell r="J222" t="str">
            <v>Macadamia Nuts</v>
          </cell>
          <cell r="K222" t="str">
            <v>NIS Vanilla</v>
          </cell>
          <cell r="L222" t="str">
            <v>Vannilla</v>
          </cell>
          <cell r="M222" t="str">
            <v>Macadamia Vanilla Whole - 320* Cut</v>
          </cell>
          <cell r="N222" t="str">
            <v>CFPL</v>
          </cell>
          <cell r="O222" t="str">
            <v>Savla</v>
          </cell>
          <cell r="P222" t="str">
            <v>0</v>
          </cell>
          <cell r="Q222">
            <v>625</v>
          </cell>
          <cell r="R222">
            <v>6250</v>
          </cell>
          <cell r="S222">
            <v>299</v>
          </cell>
          <cell r="T222" t="str">
            <v>181-365 Days</v>
          </cell>
          <cell r="U222">
            <v>1</v>
          </cell>
          <cell r="V222" t="str">
            <v>90530000-1</v>
          </cell>
        </row>
        <row r="223">
          <cell r="E223" t="str">
            <v>151105</v>
          </cell>
          <cell r="F223">
            <v>3</v>
          </cell>
          <cell r="G223">
            <v>11.34</v>
          </cell>
          <cell r="H223">
            <v>34.020000000000003</v>
          </cell>
          <cell r="I223" t="str">
            <v>PREMIUM NUTS</v>
          </cell>
          <cell r="J223" t="str">
            <v>Macadamia Nuts</v>
          </cell>
          <cell r="K223" t="str">
            <v>Roasted Style-4</v>
          </cell>
          <cell r="L223" t="str">
            <v>Size-4</v>
          </cell>
          <cell r="M223" t="str">
            <v>Macadamia Roasted Salted - Size 4</v>
          </cell>
          <cell r="N223" t="str">
            <v>CFPL</v>
          </cell>
          <cell r="O223" t="str">
            <v>Savla</v>
          </cell>
          <cell r="P223" t="str">
            <v>0</v>
          </cell>
          <cell r="Q223">
            <v>1500</v>
          </cell>
          <cell r="R223">
            <v>51030</v>
          </cell>
          <cell r="S223">
            <v>298</v>
          </cell>
          <cell r="T223" t="str">
            <v>181-365 Days</v>
          </cell>
          <cell r="U223">
            <v>3</v>
          </cell>
          <cell r="V223" t="str">
            <v>90531000-1 to 90531000-3</v>
          </cell>
        </row>
        <row r="224">
          <cell r="E224" t="str">
            <v>151709</v>
          </cell>
          <cell r="F224">
            <v>1</v>
          </cell>
          <cell r="G224">
            <v>11.34</v>
          </cell>
          <cell r="H224">
            <v>11.34</v>
          </cell>
          <cell r="I224" t="str">
            <v>PREMIUM NUTS</v>
          </cell>
          <cell r="J224" t="str">
            <v>Macadamia Nuts</v>
          </cell>
          <cell r="K224" t="str">
            <v>Roasted Style-6</v>
          </cell>
          <cell r="L224" t="str">
            <v>Size-6</v>
          </cell>
          <cell r="M224" t="str">
            <v>Macadamia Roasted - Size 6</v>
          </cell>
          <cell r="N224" t="str">
            <v>CFPL</v>
          </cell>
          <cell r="O224" t="str">
            <v>Savla</v>
          </cell>
          <cell r="P224" t="str">
            <v>0</v>
          </cell>
          <cell r="Q224">
            <v>900</v>
          </cell>
          <cell r="R224">
            <v>10206</v>
          </cell>
          <cell r="S224">
            <v>293</v>
          </cell>
          <cell r="T224" t="str">
            <v>181-365 Days</v>
          </cell>
          <cell r="U224">
            <v>1</v>
          </cell>
          <cell r="V224" t="str">
            <v>90532000-1</v>
          </cell>
        </row>
        <row r="225">
          <cell r="E225" t="str">
            <v>160135</v>
          </cell>
          <cell r="F225">
            <v>23</v>
          </cell>
          <cell r="G225">
            <v>4.54</v>
          </cell>
          <cell r="H225">
            <v>104.42</v>
          </cell>
          <cell r="I225" t="str">
            <v>CRANBERRY</v>
          </cell>
          <cell r="J225" t="str">
            <v>Cranberry - Whole</v>
          </cell>
          <cell r="K225" t="str">
            <v>Meduri</v>
          </cell>
          <cell r="L225" t="str">
            <v>Meduri</v>
          </cell>
          <cell r="M225" t="str">
            <v>Dried Cranberry Whole</v>
          </cell>
          <cell r="N225" t="str">
            <v>CFPL</v>
          </cell>
          <cell r="O225" t="str">
            <v>Savla</v>
          </cell>
          <cell r="P225" t="str">
            <v>Tajir</v>
          </cell>
          <cell r="Q225">
            <v>890</v>
          </cell>
          <cell r="R225">
            <v>92933.8</v>
          </cell>
          <cell r="S225">
            <v>227</v>
          </cell>
          <cell r="T225" t="str">
            <v>181-365 Days</v>
          </cell>
          <cell r="U225">
            <v>23</v>
          </cell>
          <cell r="V225" t="str">
            <v>90537000-6 to 90537000-28</v>
          </cell>
        </row>
        <row r="226">
          <cell r="E226" t="str">
            <v>162094</v>
          </cell>
          <cell r="F226">
            <v>390</v>
          </cell>
          <cell r="G226">
            <v>5</v>
          </cell>
          <cell r="H226">
            <v>1950</v>
          </cell>
          <cell r="I226" t="str">
            <v>DATES</v>
          </cell>
          <cell r="J226" t="str">
            <v>Medjoul-Jumbo</v>
          </cell>
          <cell r="K226" t="str">
            <v>Org Medjoul-Jumbo</v>
          </cell>
          <cell r="L226" t="str">
            <v>Aldaka</v>
          </cell>
          <cell r="M226" t="str">
            <v>Aldaka Medjool Premium Jumbo</v>
          </cell>
          <cell r="N226" t="str">
            <v>CFPL</v>
          </cell>
          <cell r="O226" t="str">
            <v>Savla</v>
          </cell>
          <cell r="P226" t="str">
            <v>NAKHEEL</v>
          </cell>
          <cell r="Q226">
            <v>1089.42</v>
          </cell>
          <cell r="R226">
            <v>2124369</v>
          </cell>
          <cell r="S226">
            <v>208</v>
          </cell>
          <cell r="T226" t="str">
            <v>181-365 Days</v>
          </cell>
          <cell r="U226">
            <v>390</v>
          </cell>
          <cell r="V226" t="str">
            <v>90540000-1 to 90540000-390</v>
          </cell>
        </row>
        <row r="227">
          <cell r="E227" t="str">
            <v>162095</v>
          </cell>
          <cell r="F227">
            <v>573</v>
          </cell>
          <cell r="G227">
            <v>5</v>
          </cell>
          <cell r="H227">
            <v>2865</v>
          </cell>
          <cell r="I227" t="str">
            <v>DATES</v>
          </cell>
          <cell r="J227" t="str">
            <v>Medjoul-Large</v>
          </cell>
          <cell r="K227" t="str">
            <v>Org Medjoul-Lar</v>
          </cell>
          <cell r="L227" t="str">
            <v>Aldaka</v>
          </cell>
          <cell r="M227" t="str">
            <v>Aldaka Medjool Premium Large</v>
          </cell>
          <cell r="N227" t="str">
            <v>CFPL</v>
          </cell>
          <cell r="O227" t="str">
            <v>Savla</v>
          </cell>
          <cell r="P227" t="str">
            <v>NAKHEEL</v>
          </cell>
          <cell r="Q227">
            <v>900.77</v>
          </cell>
          <cell r="R227">
            <v>2580706.0499999998</v>
          </cell>
          <cell r="S227">
            <v>208</v>
          </cell>
          <cell r="T227" t="str">
            <v>181-365 Days</v>
          </cell>
          <cell r="U227">
            <v>573</v>
          </cell>
          <cell r="V227" t="str">
            <v>90541000-1 to 90541000-573</v>
          </cell>
        </row>
        <row r="228">
          <cell r="E228" t="str">
            <v>162411</v>
          </cell>
          <cell r="F228">
            <v>6</v>
          </cell>
          <cell r="G228">
            <v>15</v>
          </cell>
          <cell r="H228">
            <v>90</v>
          </cell>
          <cell r="I228" t="str">
            <v>RAISIN</v>
          </cell>
          <cell r="J228" t="str">
            <v>Raisin - Indian</v>
          </cell>
          <cell r="K228" t="str">
            <v>Indian</v>
          </cell>
          <cell r="L228" t="str">
            <v>Raisin</v>
          </cell>
          <cell r="M228" t="str">
            <v>Indian Green Raisins</v>
          </cell>
          <cell r="N228" t="str">
            <v>CFPL</v>
          </cell>
          <cell r="O228" t="str">
            <v>Savla</v>
          </cell>
          <cell r="P228" t="str">
            <v>0</v>
          </cell>
          <cell r="Q228">
            <v>420</v>
          </cell>
          <cell r="R228">
            <v>37800</v>
          </cell>
          <cell r="S228">
            <v>216</v>
          </cell>
          <cell r="T228" t="str">
            <v>181-365 Days</v>
          </cell>
          <cell r="U228">
            <v>6</v>
          </cell>
          <cell r="V228" t="str">
            <v>90539000-1 to 90539000-6</v>
          </cell>
        </row>
        <row r="229">
          <cell r="E229" t="str">
            <v>165912</v>
          </cell>
          <cell r="F229">
            <v>10</v>
          </cell>
          <cell r="G229">
            <v>5</v>
          </cell>
          <cell r="H229">
            <v>50</v>
          </cell>
          <cell r="I229" t="str">
            <v>DATES</v>
          </cell>
          <cell r="J229" t="str">
            <v>Medjoul-Junior</v>
          </cell>
          <cell r="K229" t="str">
            <v>Medjoul-Junior</v>
          </cell>
          <cell r="L229" t="str">
            <v>Junior</v>
          </cell>
          <cell r="M229" t="str">
            <v>Medjoul Dates Junior</v>
          </cell>
          <cell r="N229" t="str">
            <v>CFPL</v>
          </cell>
          <cell r="O229" t="str">
            <v>Savla</v>
          </cell>
          <cell r="P229" t="str">
            <v>Hadiklaim</v>
          </cell>
          <cell r="Q229">
            <v>613</v>
          </cell>
          <cell r="R229">
            <v>30650</v>
          </cell>
          <cell r="S229">
            <v>197</v>
          </cell>
          <cell r="T229" t="str">
            <v>181-365 Days</v>
          </cell>
          <cell r="U229">
            <v>10</v>
          </cell>
          <cell r="V229" t="str">
            <v>90543000-1 to 90543000-10</v>
          </cell>
        </row>
        <row r="230">
          <cell r="E230" t="str">
            <v>167915</v>
          </cell>
          <cell r="F230">
            <v>51</v>
          </cell>
          <cell r="G230">
            <v>7.5</v>
          </cell>
          <cell r="H230">
            <v>382.5</v>
          </cell>
          <cell r="I230" t="str">
            <v>PREMIUM NUTS</v>
          </cell>
          <cell r="J230" t="str">
            <v>Macadamia Nuts</v>
          </cell>
          <cell r="K230" t="str">
            <v>Milk Choc</v>
          </cell>
          <cell r="L230" t="str">
            <v>Kernels</v>
          </cell>
          <cell r="M230" t="str">
            <v>Macadamia Milk Chocolate Clusters</v>
          </cell>
          <cell r="N230" t="str">
            <v>CFPL</v>
          </cell>
          <cell r="O230" t="str">
            <v>Savla</v>
          </cell>
          <cell r="P230" t="str">
            <v>0</v>
          </cell>
          <cell r="Q230">
            <v>2859.54</v>
          </cell>
          <cell r="R230">
            <v>1093774.05</v>
          </cell>
          <cell r="S230">
            <v>187</v>
          </cell>
          <cell r="T230" t="str">
            <v>181-365 Days</v>
          </cell>
          <cell r="U230">
            <v>51</v>
          </cell>
          <cell r="V230" t="str">
            <v>90554000-2 to 90554000-52</v>
          </cell>
        </row>
        <row r="231">
          <cell r="E231" t="str">
            <v>167916</v>
          </cell>
          <cell r="F231">
            <v>52</v>
          </cell>
          <cell r="G231">
            <v>7.5</v>
          </cell>
          <cell r="H231">
            <v>390</v>
          </cell>
          <cell r="I231" t="str">
            <v>PREMIUM NUTS</v>
          </cell>
          <cell r="J231" t="str">
            <v>Macadamia Nuts</v>
          </cell>
          <cell r="K231" t="str">
            <v>Dark Choc</v>
          </cell>
          <cell r="L231" t="str">
            <v>Kernels</v>
          </cell>
          <cell r="M231" t="str">
            <v>Macadamia Dark Chocolate Clusters</v>
          </cell>
          <cell r="N231" t="str">
            <v>CFPL</v>
          </cell>
          <cell r="O231" t="str">
            <v>Savla</v>
          </cell>
          <cell r="P231" t="str">
            <v>0</v>
          </cell>
          <cell r="Q231">
            <v>2859.54</v>
          </cell>
          <cell r="R231">
            <v>1115220.6000000001</v>
          </cell>
          <cell r="S231">
            <v>187</v>
          </cell>
          <cell r="T231" t="str">
            <v>181-365 Days</v>
          </cell>
          <cell r="U231">
            <v>52</v>
          </cell>
          <cell r="V231" t="str">
            <v>90553000-1 to 90553000-52</v>
          </cell>
        </row>
        <row r="232">
          <cell r="E232" t="str">
            <v>167917</v>
          </cell>
          <cell r="F232">
            <v>39</v>
          </cell>
          <cell r="G232">
            <v>10</v>
          </cell>
          <cell r="H232">
            <v>390</v>
          </cell>
          <cell r="I232" t="str">
            <v>PREMIUM NUTS</v>
          </cell>
          <cell r="J232" t="str">
            <v>Macadamia Nuts</v>
          </cell>
          <cell r="K232" t="str">
            <v>Honey Roasted</v>
          </cell>
          <cell r="L232" t="str">
            <v>Kernels</v>
          </cell>
          <cell r="M232" t="str">
            <v>Honey Roasted Macadamia Nut</v>
          </cell>
          <cell r="N232" t="str">
            <v>CFPL</v>
          </cell>
          <cell r="O232" t="str">
            <v>Savla</v>
          </cell>
          <cell r="P232" t="str">
            <v>0</v>
          </cell>
          <cell r="Q232">
            <v>2461.79</v>
          </cell>
          <cell r="R232">
            <v>960098.1</v>
          </cell>
          <cell r="S232">
            <v>187</v>
          </cell>
          <cell r="T232" t="str">
            <v>181-365 Days</v>
          </cell>
          <cell r="U232">
            <v>39</v>
          </cell>
          <cell r="V232" t="str">
            <v>90552000-1 to 90552000-39</v>
          </cell>
        </row>
        <row r="233">
          <cell r="E233" t="str">
            <v>167918</v>
          </cell>
          <cell r="F233">
            <v>38</v>
          </cell>
          <cell r="G233">
            <v>10</v>
          </cell>
          <cell r="H233">
            <v>380</v>
          </cell>
          <cell r="I233" t="str">
            <v>PREMIUM NUTS</v>
          </cell>
          <cell r="J233" t="str">
            <v>Macadamia Nuts</v>
          </cell>
          <cell r="K233" t="str">
            <v>Sweet Chilli</v>
          </cell>
          <cell r="L233" t="str">
            <v>Kernels</v>
          </cell>
          <cell r="M233" t="str">
            <v>Sweet Chilli Macadamia Nut</v>
          </cell>
          <cell r="N233" t="str">
            <v>CFPL</v>
          </cell>
          <cell r="O233" t="str">
            <v>Savla</v>
          </cell>
          <cell r="P233" t="str">
            <v>0</v>
          </cell>
          <cell r="Q233">
            <v>2461.79</v>
          </cell>
          <cell r="R233">
            <v>935480.2</v>
          </cell>
          <cell r="S233">
            <v>187</v>
          </cell>
          <cell r="T233" t="str">
            <v>181-365 Days</v>
          </cell>
          <cell r="U233">
            <v>38</v>
          </cell>
          <cell r="V233" t="str">
            <v>90551000-1 to 90551000-38</v>
          </cell>
        </row>
        <row r="234">
          <cell r="E234" t="str">
            <v>167919</v>
          </cell>
          <cell r="F234">
            <v>59</v>
          </cell>
          <cell r="G234">
            <v>11.34</v>
          </cell>
          <cell r="H234">
            <v>669.06</v>
          </cell>
          <cell r="I234" t="str">
            <v>PREMIUM NUTS</v>
          </cell>
          <cell r="J234" t="str">
            <v>Macadamia Nuts</v>
          </cell>
          <cell r="K234" t="str">
            <v>Roasted Style-1</v>
          </cell>
          <cell r="L234" t="str">
            <v>Kernels</v>
          </cell>
          <cell r="M234" t="str">
            <v>Macadamia Roasted - Size 1</v>
          </cell>
          <cell r="N234" t="str">
            <v>CFPL</v>
          </cell>
          <cell r="O234" t="str">
            <v>Savla</v>
          </cell>
          <cell r="P234" t="str">
            <v>0</v>
          </cell>
          <cell r="Q234">
            <v>1820.3</v>
          </cell>
          <cell r="R234">
            <v>1217889.8</v>
          </cell>
          <cell r="S234">
            <v>187</v>
          </cell>
          <cell r="T234" t="str">
            <v>181-365 Days</v>
          </cell>
          <cell r="U234">
            <v>59</v>
          </cell>
          <cell r="V234" t="str">
            <v>90550000-6 to 90550000-64</v>
          </cell>
        </row>
        <row r="235">
          <cell r="E235" t="str">
            <v>167920</v>
          </cell>
          <cell r="F235">
            <v>143</v>
          </cell>
          <cell r="G235">
            <v>11.34</v>
          </cell>
          <cell r="H235">
            <v>1621.62</v>
          </cell>
          <cell r="I235" t="str">
            <v>PREMIUM NUTS</v>
          </cell>
          <cell r="J235" t="str">
            <v>Macadamia Nuts</v>
          </cell>
          <cell r="K235" t="str">
            <v>Roasted Style-0</v>
          </cell>
          <cell r="L235" t="str">
            <v>Kernels</v>
          </cell>
          <cell r="M235" t="str">
            <v>Macadamia Roasted - Size 0</v>
          </cell>
          <cell r="N235" t="str">
            <v>CFPL</v>
          </cell>
          <cell r="O235" t="str">
            <v>Savla</v>
          </cell>
          <cell r="P235" t="str">
            <v>0</v>
          </cell>
          <cell r="Q235">
            <v>1964.45</v>
          </cell>
          <cell r="R235">
            <v>3185590.98</v>
          </cell>
          <cell r="S235">
            <v>187</v>
          </cell>
          <cell r="T235" t="str">
            <v>181-365 Days</v>
          </cell>
          <cell r="U235">
            <v>143</v>
          </cell>
          <cell r="V235" t="str">
            <v>90549000-4 to 90549000-146</v>
          </cell>
        </row>
        <row r="236">
          <cell r="E236" t="str">
            <v>174028</v>
          </cell>
          <cell r="F236">
            <v>73</v>
          </cell>
          <cell r="G236">
            <v>10</v>
          </cell>
          <cell r="H236">
            <v>730</v>
          </cell>
          <cell r="I236" t="str">
            <v>DATES</v>
          </cell>
          <cell r="J236" t="str">
            <v>Khalas</v>
          </cell>
          <cell r="K236" t="str">
            <v>Khalas</v>
          </cell>
          <cell r="L236" t="str">
            <v>VR IND</v>
          </cell>
          <cell r="M236" t="str">
            <v>AL BARAKAH KHALAS DATES</v>
          </cell>
          <cell r="N236" t="str">
            <v>CFPL</v>
          </cell>
          <cell r="O236" t="str">
            <v>Savla</v>
          </cell>
          <cell r="P236" t="str">
            <v>AL BARAKAH</v>
          </cell>
          <cell r="Q236">
            <v>116</v>
          </cell>
          <cell r="R236">
            <v>84680</v>
          </cell>
          <cell r="S236">
            <v>155</v>
          </cell>
          <cell r="T236" t="str">
            <v>91-180 Days</v>
          </cell>
          <cell r="U236">
            <v>73</v>
          </cell>
          <cell r="V236" t="str">
            <v>90560000-1 to 90560000-73</v>
          </cell>
        </row>
        <row r="237">
          <cell r="E237" t="str">
            <v>175580</v>
          </cell>
          <cell r="F237">
            <v>91</v>
          </cell>
          <cell r="G237">
            <v>4.54</v>
          </cell>
          <cell r="H237">
            <v>413.14</v>
          </cell>
          <cell r="I237" t="str">
            <v>CRANBERRY</v>
          </cell>
          <cell r="J237" t="str">
            <v>Cranberry - Whole</v>
          </cell>
          <cell r="K237" t="str">
            <v>Meduri</v>
          </cell>
          <cell r="L237" t="str">
            <v>Meduri</v>
          </cell>
          <cell r="M237" t="str">
            <v>Dried Cranberry Whole</v>
          </cell>
          <cell r="N237" t="str">
            <v>CFPL</v>
          </cell>
          <cell r="O237" t="str">
            <v>Savla</v>
          </cell>
          <cell r="P237" t="str">
            <v>Tajir</v>
          </cell>
          <cell r="Q237">
            <v>890</v>
          </cell>
          <cell r="R237">
            <v>367694.6</v>
          </cell>
          <cell r="S237">
            <v>145</v>
          </cell>
          <cell r="T237" t="str">
            <v>91-180 Days</v>
          </cell>
          <cell r="U237">
            <v>91</v>
          </cell>
          <cell r="V237" t="str">
            <v>90561000-10 to 90561000-100</v>
          </cell>
        </row>
        <row r="238">
          <cell r="E238" t="str">
            <v>177590</v>
          </cell>
          <cell r="F238">
            <v>600</v>
          </cell>
          <cell r="G238">
            <v>11.34</v>
          </cell>
          <cell r="H238">
            <v>6804</v>
          </cell>
          <cell r="I238" t="str">
            <v>PISTA</v>
          </cell>
          <cell r="J238" t="str">
            <v>Pista - Inshell</v>
          </cell>
          <cell r="K238" t="str">
            <v>California 18-21</v>
          </cell>
          <cell r="L238" t="str">
            <v>Inshell</v>
          </cell>
          <cell r="M238" t="str">
            <v>California Pista Inshell</v>
          </cell>
          <cell r="N238" t="str">
            <v>CFPL</v>
          </cell>
          <cell r="O238" t="str">
            <v>Savla</v>
          </cell>
          <cell r="P238" t="str">
            <v>JTC</v>
          </cell>
          <cell r="Q238">
            <v>1040</v>
          </cell>
          <cell r="R238">
            <v>7076160</v>
          </cell>
          <cell r="S238">
            <v>129</v>
          </cell>
          <cell r="T238" t="str">
            <v>91-180 Days</v>
          </cell>
          <cell r="U238">
            <v>600</v>
          </cell>
          <cell r="V238" t="str">
            <v>90572000-1 to 90572000-94, 90573000-1 to 90573000-77, 90574000-1 to 90574000-86, 90575000-1 to 90575000-77, 90576000-1 to 90576000-81, 90577000-1 to 90577000-77, 90578000-1 to 90578000-108</v>
          </cell>
        </row>
        <row r="239">
          <cell r="E239" t="str">
            <v>177591</v>
          </cell>
          <cell r="F239">
            <v>185</v>
          </cell>
          <cell r="G239">
            <v>50</v>
          </cell>
          <cell r="H239">
            <v>9250</v>
          </cell>
          <cell r="I239" t="str">
            <v>PISTA</v>
          </cell>
          <cell r="J239" t="str">
            <v>Pista - Irani</v>
          </cell>
          <cell r="K239" t="str">
            <v>Irani 26-28</v>
          </cell>
          <cell r="L239" t="str">
            <v>Inshell</v>
          </cell>
          <cell r="M239" t="str">
            <v>Pista Inshell Iranian 26-28</v>
          </cell>
          <cell r="N239" t="str">
            <v>CFPL</v>
          </cell>
          <cell r="O239" t="str">
            <v>Savla</v>
          </cell>
          <cell r="P239" t="str">
            <v>JTC</v>
          </cell>
          <cell r="Q239">
            <v>1000</v>
          </cell>
          <cell r="R239">
            <v>9250000</v>
          </cell>
          <cell r="S239">
            <v>129</v>
          </cell>
          <cell r="T239" t="str">
            <v>91-180 Days</v>
          </cell>
          <cell r="U239">
            <v>185</v>
          </cell>
          <cell r="V239" t="str">
            <v>90570000-1 to 90570000-68, 90571000-1 to 90571000-117</v>
          </cell>
        </row>
        <row r="240">
          <cell r="E240" t="str">
            <v>177602</v>
          </cell>
          <cell r="F240">
            <v>24</v>
          </cell>
          <cell r="G240">
            <v>10</v>
          </cell>
          <cell r="H240">
            <v>240</v>
          </cell>
          <cell r="I240" t="str">
            <v>PREMIUM NUTS</v>
          </cell>
          <cell r="J240" t="str">
            <v>Macadamia Nuts</v>
          </cell>
          <cell r="K240" t="str">
            <v>Fingerlime Jalapeno</v>
          </cell>
          <cell r="L240" t="str">
            <v>Fingerline Jalapeno</v>
          </cell>
          <cell r="M240" t="str">
            <v>MACADAMIA FINGER LIME &amp; JALAPENO</v>
          </cell>
          <cell r="N240" t="str">
            <v>CFPL</v>
          </cell>
          <cell r="O240" t="str">
            <v>Savla</v>
          </cell>
          <cell r="P240" t="str">
            <v>Crestnut</v>
          </cell>
          <cell r="Q240">
            <v>1785</v>
          </cell>
          <cell r="R240">
            <v>428400</v>
          </cell>
          <cell r="S240">
            <v>130</v>
          </cell>
          <cell r="T240" t="str">
            <v>91-180 Days</v>
          </cell>
          <cell r="U240">
            <v>24</v>
          </cell>
          <cell r="V240" t="str">
            <v>90569000-1 to 90569000-24</v>
          </cell>
        </row>
        <row r="241">
          <cell r="E241" t="str">
            <v>177603</v>
          </cell>
          <cell r="F241">
            <v>23</v>
          </cell>
          <cell r="G241">
            <v>10</v>
          </cell>
          <cell r="H241">
            <v>230</v>
          </cell>
          <cell r="I241" t="str">
            <v>PREMIUM NUTS</v>
          </cell>
          <cell r="J241" t="str">
            <v>Macadamia Nuts</v>
          </cell>
          <cell r="K241" t="str">
            <v>Wasabi Style 4</v>
          </cell>
          <cell r="L241" t="str">
            <v>Wasabi Style 4</v>
          </cell>
          <cell r="M241" t="str">
            <v>WASABI MACADAMIA STYLE 4</v>
          </cell>
          <cell r="N241" t="str">
            <v>CFPL</v>
          </cell>
          <cell r="O241" t="str">
            <v>Savla</v>
          </cell>
          <cell r="P241" t="str">
            <v>Crestnut</v>
          </cell>
          <cell r="Q241">
            <v>1785</v>
          </cell>
          <cell r="R241">
            <v>410550</v>
          </cell>
          <cell r="S241">
            <v>130</v>
          </cell>
          <cell r="T241" t="str">
            <v>91-180 Days</v>
          </cell>
          <cell r="U241">
            <v>23</v>
          </cell>
          <cell r="V241" t="str">
            <v>90568000-1 to 90568000-23</v>
          </cell>
        </row>
        <row r="242">
          <cell r="E242" t="str">
            <v>177604</v>
          </cell>
          <cell r="F242">
            <v>23</v>
          </cell>
          <cell r="G242">
            <v>10</v>
          </cell>
          <cell r="H242">
            <v>230</v>
          </cell>
          <cell r="I242" t="str">
            <v>PREMIUM NUTS</v>
          </cell>
          <cell r="J242" t="str">
            <v>Macadamia Nuts</v>
          </cell>
          <cell r="K242" t="str">
            <v>Rosemary &amp; Seasalt</v>
          </cell>
          <cell r="L242" t="str">
            <v>Rosemary &amp; Seasalt</v>
          </cell>
          <cell r="M242" t="str">
            <v>MACADAMIA ROSEMARY &amp; SEA SALT</v>
          </cell>
          <cell r="N242" t="str">
            <v>CFPL</v>
          </cell>
          <cell r="O242" t="str">
            <v>Savla</v>
          </cell>
          <cell r="P242" t="str">
            <v>Crestnut</v>
          </cell>
          <cell r="Q242">
            <v>1785</v>
          </cell>
          <cell r="R242">
            <v>410550</v>
          </cell>
          <cell r="S242">
            <v>130</v>
          </cell>
          <cell r="T242" t="str">
            <v>91-180 Days</v>
          </cell>
          <cell r="U242">
            <v>23</v>
          </cell>
          <cell r="V242" t="str">
            <v>90567000-1 to 90567000-23</v>
          </cell>
        </row>
        <row r="243">
          <cell r="E243" t="str">
            <v>177605</v>
          </cell>
          <cell r="F243">
            <v>23</v>
          </cell>
          <cell r="G243">
            <v>10</v>
          </cell>
          <cell r="H243">
            <v>230</v>
          </cell>
          <cell r="I243" t="str">
            <v>PREMIUM NUTS</v>
          </cell>
          <cell r="J243" t="str">
            <v>Macadamia Nuts</v>
          </cell>
          <cell r="K243" t="str">
            <v>R&amp;S Seasalt</v>
          </cell>
          <cell r="L243" t="str">
            <v>R&amp;S Seasalt</v>
          </cell>
          <cell r="M243" t="str">
            <v>MACADAMIA NIS - ROASTED SEA SALT</v>
          </cell>
          <cell r="N243" t="str">
            <v>CFPL</v>
          </cell>
          <cell r="O243" t="str">
            <v>Savla</v>
          </cell>
          <cell r="P243" t="str">
            <v>Crestnut</v>
          </cell>
          <cell r="Q243">
            <v>910</v>
          </cell>
          <cell r="R243">
            <v>209300</v>
          </cell>
          <cell r="S243">
            <v>130</v>
          </cell>
          <cell r="T243" t="str">
            <v>91-180 Days</v>
          </cell>
          <cell r="U243">
            <v>23</v>
          </cell>
          <cell r="V243" t="str">
            <v>90566000-1 to 90566000-23</v>
          </cell>
        </row>
        <row r="244">
          <cell r="E244" t="str">
            <v>177973</v>
          </cell>
          <cell r="F244">
            <v>136</v>
          </cell>
          <cell r="G244">
            <v>11.34</v>
          </cell>
          <cell r="H244">
            <v>1542.24</v>
          </cell>
          <cell r="I244" t="str">
            <v>CRANBERRY</v>
          </cell>
          <cell r="J244" t="str">
            <v>Cranberry - Whole</v>
          </cell>
          <cell r="K244" t="str">
            <v>Whole</v>
          </cell>
          <cell r="L244" t="str">
            <v>Whole</v>
          </cell>
          <cell r="M244" t="str">
            <v>Dried Cranberry Whole</v>
          </cell>
          <cell r="N244" t="str">
            <v>CFPL</v>
          </cell>
          <cell r="O244" t="str">
            <v>Savla</v>
          </cell>
          <cell r="P244" t="str">
            <v>0</v>
          </cell>
          <cell r="Q244">
            <v>415</v>
          </cell>
          <cell r="R244">
            <v>640029.6</v>
          </cell>
          <cell r="S244">
            <v>126</v>
          </cell>
          <cell r="T244" t="str">
            <v>91-180 Days</v>
          </cell>
          <cell r="U244">
            <v>136</v>
          </cell>
          <cell r="V244" t="str">
            <v>90580000-52 to 90580000-187</v>
          </cell>
        </row>
        <row r="245">
          <cell r="E245" t="str">
            <v>179566</v>
          </cell>
          <cell r="F245">
            <v>856</v>
          </cell>
          <cell r="G245">
            <v>11.34</v>
          </cell>
          <cell r="H245">
            <v>9707.0400000000009</v>
          </cell>
          <cell r="I245" t="str">
            <v>CRANBERRY</v>
          </cell>
          <cell r="J245" t="str">
            <v>Cranberry - Whole</v>
          </cell>
          <cell r="K245" t="str">
            <v>Whole</v>
          </cell>
          <cell r="L245" t="str">
            <v>Whole</v>
          </cell>
          <cell r="M245" t="str">
            <v>Dried Cranberry Whole</v>
          </cell>
          <cell r="N245" t="str">
            <v>CFPL</v>
          </cell>
          <cell r="O245" t="str">
            <v>Savla</v>
          </cell>
          <cell r="P245" t="str">
            <v>Tajir</v>
          </cell>
          <cell r="Q245">
            <v>425</v>
          </cell>
          <cell r="R245">
            <v>4125492</v>
          </cell>
          <cell r="S245">
            <v>113</v>
          </cell>
          <cell r="T245" t="str">
            <v>91-180 Days</v>
          </cell>
          <cell r="U245">
            <v>856</v>
          </cell>
          <cell r="V245" t="str">
            <v>90583000-1 to 90583000-856</v>
          </cell>
        </row>
        <row r="246">
          <cell r="E246" t="str">
            <v>180125</v>
          </cell>
          <cell r="F246">
            <v>84</v>
          </cell>
          <cell r="G246">
            <v>13.6</v>
          </cell>
          <cell r="H246">
            <v>1142.4000000000001</v>
          </cell>
          <cell r="I246" t="str">
            <v>PREMIUM NUTS</v>
          </cell>
          <cell r="J246" t="str">
            <v>Pecan Nuts</v>
          </cell>
          <cell r="K246" t="str">
            <v>Pecan</v>
          </cell>
          <cell r="L246" t="str">
            <v>Mamoth</v>
          </cell>
          <cell r="M246" t="str">
            <v>Pecan Nuts</v>
          </cell>
          <cell r="N246" t="str">
            <v>CFPL</v>
          </cell>
          <cell r="O246" t="str">
            <v>Savla</v>
          </cell>
          <cell r="P246" t="str">
            <v>0</v>
          </cell>
          <cell r="Q246">
            <v>1425</v>
          </cell>
          <cell r="R246">
            <v>1627920</v>
          </cell>
          <cell r="S246">
            <v>109</v>
          </cell>
          <cell r="T246" t="str">
            <v>91-180 Days</v>
          </cell>
          <cell r="U246">
            <v>84</v>
          </cell>
          <cell r="V246" t="str">
            <v>90589000-15 to 90589000-98</v>
          </cell>
        </row>
        <row r="247">
          <cell r="E247" t="str">
            <v>180127</v>
          </cell>
          <cell r="F247">
            <v>1</v>
          </cell>
          <cell r="G247">
            <v>20</v>
          </cell>
          <cell r="H247">
            <v>20</v>
          </cell>
          <cell r="I247" t="str">
            <v>PREMIUM NUTS</v>
          </cell>
          <cell r="J247" t="str">
            <v>Brazil Nuts</v>
          </cell>
          <cell r="K247" t="str">
            <v>Brazil Nut</v>
          </cell>
          <cell r="L247" t="str">
            <v>Kernels</v>
          </cell>
          <cell r="M247" t="str">
            <v>Brazil Nuts</v>
          </cell>
          <cell r="N247" t="str">
            <v>CFPL</v>
          </cell>
          <cell r="O247" t="str">
            <v>Savla</v>
          </cell>
          <cell r="P247" t="str">
            <v>0</v>
          </cell>
          <cell r="Q247">
            <v>2401</v>
          </cell>
          <cell r="R247">
            <v>48020</v>
          </cell>
          <cell r="S247">
            <v>109</v>
          </cell>
          <cell r="T247" t="str">
            <v>91-180 Days</v>
          </cell>
          <cell r="U247">
            <v>1</v>
          </cell>
          <cell r="V247" t="str">
            <v>90588000-5</v>
          </cell>
        </row>
        <row r="248">
          <cell r="E248" t="str">
            <v>180367</v>
          </cell>
          <cell r="F248">
            <v>200</v>
          </cell>
          <cell r="G248">
            <v>5</v>
          </cell>
          <cell r="H248">
            <v>1000</v>
          </cell>
          <cell r="I248" t="str">
            <v>DATES</v>
          </cell>
          <cell r="J248" t="str">
            <v>Deglet</v>
          </cell>
          <cell r="K248" t="str">
            <v>DEGLET NOUR</v>
          </cell>
          <cell r="L248" t="str">
            <v>DEGLET NOUR</v>
          </cell>
          <cell r="M248" t="str">
            <v>Deglet Dates</v>
          </cell>
          <cell r="N248" t="str">
            <v>CFPL</v>
          </cell>
          <cell r="O248" t="str">
            <v>Savla</v>
          </cell>
          <cell r="P248" t="str">
            <v>Hadiklaim</v>
          </cell>
          <cell r="Q248">
            <v>527</v>
          </cell>
          <cell r="R248">
            <v>527000</v>
          </cell>
          <cell r="S248">
            <v>107</v>
          </cell>
          <cell r="T248" t="str">
            <v>91-180 Days</v>
          </cell>
          <cell r="U248">
            <v>200</v>
          </cell>
          <cell r="V248" t="str">
            <v>90591000-1 to 90591000-200</v>
          </cell>
        </row>
        <row r="249">
          <cell r="E249" t="str">
            <v>180642</v>
          </cell>
          <cell r="F249">
            <v>200</v>
          </cell>
          <cell r="G249">
            <v>5</v>
          </cell>
          <cell r="H249">
            <v>1000</v>
          </cell>
          <cell r="I249" t="str">
            <v>DATES</v>
          </cell>
          <cell r="J249" t="str">
            <v>Deglet</v>
          </cell>
          <cell r="K249" t="str">
            <v>DEGLET NOUR</v>
          </cell>
          <cell r="L249" t="str">
            <v>DEGLET NOUR</v>
          </cell>
          <cell r="M249" t="str">
            <v>Deglet Dates</v>
          </cell>
          <cell r="N249" t="str">
            <v>CFPL</v>
          </cell>
          <cell r="O249" t="str">
            <v>Savla</v>
          </cell>
          <cell r="P249" t="str">
            <v>Hadiklaim</v>
          </cell>
          <cell r="Q249">
            <v>527</v>
          </cell>
          <cell r="R249">
            <v>527000</v>
          </cell>
          <cell r="S249">
            <v>105</v>
          </cell>
          <cell r="T249" t="str">
            <v>91-180 Days</v>
          </cell>
          <cell r="U249">
            <v>200</v>
          </cell>
          <cell r="V249" t="str">
            <v>90598000-1 to 90598000-200</v>
          </cell>
        </row>
        <row r="250">
          <cell r="E250" t="str">
            <v>180647</v>
          </cell>
          <cell r="F250">
            <v>16</v>
          </cell>
          <cell r="G250">
            <v>3.5</v>
          </cell>
          <cell r="H250">
            <v>56</v>
          </cell>
          <cell r="I250" t="str">
            <v>DATES</v>
          </cell>
          <cell r="J250" t="str">
            <v>Medjoul-Bon Bon</v>
          </cell>
          <cell r="K250" t="str">
            <v>Medjoul-Bon Bon</v>
          </cell>
          <cell r="L250" t="str">
            <v>Bon Bon</v>
          </cell>
          <cell r="M250" t="str">
            <v>Medjoul Dates Premium Bon Bon</v>
          </cell>
          <cell r="N250" t="str">
            <v>CFPL</v>
          </cell>
          <cell r="O250" t="str">
            <v>Savla</v>
          </cell>
          <cell r="P250" t="str">
            <v>Hadiklaim</v>
          </cell>
          <cell r="Q250">
            <v>1350</v>
          </cell>
          <cell r="R250">
            <v>75600</v>
          </cell>
          <cell r="S250">
            <v>105</v>
          </cell>
          <cell r="T250" t="str">
            <v>91-180 Days</v>
          </cell>
          <cell r="U250">
            <v>16</v>
          </cell>
          <cell r="V250" t="str">
            <v>90599000-2 to 90599000-17</v>
          </cell>
        </row>
        <row r="251">
          <cell r="E251" t="str">
            <v>181841</v>
          </cell>
          <cell r="F251">
            <v>20</v>
          </cell>
          <cell r="G251">
            <v>12.5</v>
          </cell>
          <cell r="H251">
            <v>250</v>
          </cell>
          <cell r="I251" t="str">
            <v>BLACKCURRANT</v>
          </cell>
          <cell r="J251" t="str">
            <v>Dried Blackcurrant</v>
          </cell>
          <cell r="K251" t="str">
            <v>BlackCurrant</v>
          </cell>
          <cell r="L251" t="str">
            <v>Dried</v>
          </cell>
          <cell r="M251" t="str">
            <v>GREEK DARK SEEDLESS RAISINS (Black Currant)</v>
          </cell>
          <cell r="N251" t="str">
            <v>CFPL</v>
          </cell>
          <cell r="O251" t="str">
            <v>Savla</v>
          </cell>
          <cell r="P251" t="str">
            <v>Tajir</v>
          </cell>
          <cell r="Q251">
            <v>550</v>
          </cell>
          <cell r="R251">
            <v>137500</v>
          </cell>
          <cell r="S251">
            <v>97</v>
          </cell>
          <cell r="T251" t="str">
            <v>91-180 Days</v>
          </cell>
          <cell r="U251">
            <v>20</v>
          </cell>
          <cell r="V251" t="str">
            <v>90607000-2 to 90607000-21</v>
          </cell>
        </row>
        <row r="252">
          <cell r="E252" t="str">
            <v>182082</v>
          </cell>
          <cell r="F252">
            <v>153</v>
          </cell>
          <cell r="G252">
            <v>5</v>
          </cell>
          <cell r="H252">
            <v>765</v>
          </cell>
          <cell r="I252" t="str">
            <v>DATES</v>
          </cell>
          <cell r="J252" t="str">
            <v>Medjoul-Jumbo</v>
          </cell>
          <cell r="K252" t="str">
            <v>Medjoul-Jumbo</v>
          </cell>
          <cell r="L252" t="str">
            <v>Jumbo</v>
          </cell>
          <cell r="M252" t="str">
            <v>MEDJOUL DATES JUMBO</v>
          </cell>
          <cell r="N252" t="str">
            <v>CFPL</v>
          </cell>
          <cell r="O252" t="str">
            <v>Savla</v>
          </cell>
          <cell r="P252" t="str">
            <v>Hadiklaim</v>
          </cell>
          <cell r="Q252">
            <v>1057</v>
          </cell>
          <cell r="R252">
            <v>808605</v>
          </cell>
          <cell r="S252">
            <v>54</v>
          </cell>
          <cell r="T252" t="str">
            <v>31-60 Days</v>
          </cell>
          <cell r="U252">
            <v>153</v>
          </cell>
          <cell r="V252" t="str">
            <v>15201000-58 to 15201000-210</v>
          </cell>
        </row>
        <row r="253">
          <cell r="E253" t="str">
            <v>182083</v>
          </cell>
          <cell r="F253">
            <v>208</v>
          </cell>
          <cell r="G253">
            <v>5</v>
          </cell>
          <cell r="H253">
            <v>1040</v>
          </cell>
          <cell r="I253" t="str">
            <v>DATES</v>
          </cell>
          <cell r="J253" t="str">
            <v>Medjoul-Large</v>
          </cell>
          <cell r="K253" t="str">
            <v>Medjoul-Large</v>
          </cell>
          <cell r="L253" t="str">
            <v>Large</v>
          </cell>
          <cell r="M253" t="str">
            <v>Medjoul Dates Large</v>
          </cell>
          <cell r="N253" t="str">
            <v>CFPL</v>
          </cell>
          <cell r="O253" t="str">
            <v>Savla</v>
          </cell>
          <cell r="P253" t="str">
            <v>Hadiklaim</v>
          </cell>
          <cell r="Q253">
            <v>871.2</v>
          </cell>
          <cell r="R253">
            <v>906048</v>
          </cell>
          <cell r="S253">
            <v>95</v>
          </cell>
          <cell r="T253" t="str">
            <v>91-180 Days</v>
          </cell>
          <cell r="U253">
            <v>208</v>
          </cell>
          <cell r="V253" t="str">
            <v>90609000-1 to 90609000-208</v>
          </cell>
        </row>
        <row r="254">
          <cell r="E254" t="str">
            <v>182090</v>
          </cell>
          <cell r="F254">
            <v>82</v>
          </cell>
          <cell r="G254">
            <v>5</v>
          </cell>
          <cell r="H254">
            <v>410</v>
          </cell>
          <cell r="I254" t="str">
            <v>DATES</v>
          </cell>
          <cell r="J254" t="str">
            <v>Medjoul-Jumbo</v>
          </cell>
          <cell r="K254" t="str">
            <v>Medjoul-Jumbo</v>
          </cell>
          <cell r="L254" t="str">
            <v>Jumbo</v>
          </cell>
          <cell r="M254" t="str">
            <v>MEDJOUL DATES JUMBO</v>
          </cell>
          <cell r="N254" t="str">
            <v>CFPL</v>
          </cell>
          <cell r="O254" t="str">
            <v>Savla</v>
          </cell>
          <cell r="P254" t="str">
            <v>Hadiklaim</v>
          </cell>
          <cell r="Q254">
            <v>1057</v>
          </cell>
          <cell r="R254">
            <v>433370</v>
          </cell>
          <cell r="S254">
            <v>95</v>
          </cell>
          <cell r="T254" t="str">
            <v>91-180 Days</v>
          </cell>
          <cell r="U254">
            <v>82</v>
          </cell>
          <cell r="V254" t="str">
            <v>90615000-17 to 90615000-98</v>
          </cell>
        </row>
        <row r="255">
          <cell r="E255" t="str">
            <v>182099</v>
          </cell>
          <cell r="F255">
            <v>200</v>
          </cell>
          <cell r="G255">
            <v>5</v>
          </cell>
          <cell r="H255">
            <v>1000</v>
          </cell>
          <cell r="I255" t="str">
            <v>DATES</v>
          </cell>
          <cell r="J255" t="str">
            <v>Deglet</v>
          </cell>
          <cell r="K255" t="str">
            <v>DEGLET NOUR</v>
          </cell>
          <cell r="L255" t="str">
            <v>DEGLET NOUR</v>
          </cell>
          <cell r="M255" t="str">
            <v>Deglet Dates</v>
          </cell>
          <cell r="N255" t="str">
            <v>CFPL</v>
          </cell>
          <cell r="O255" t="str">
            <v>Savla</v>
          </cell>
          <cell r="P255" t="str">
            <v>Hadiklaim</v>
          </cell>
          <cell r="Q255">
            <v>527</v>
          </cell>
          <cell r="R255">
            <v>527000</v>
          </cell>
          <cell r="S255">
            <v>95</v>
          </cell>
          <cell r="T255" t="str">
            <v>91-180 Days</v>
          </cell>
          <cell r="U255">
            <v>200</v>
          </cell>
          <cell r="V255" t="str">
            <v>90624000-1 to 90624000-200</v>
          </cell>
        </row>
        <row r="256">
          <cell r="E256" t="str">
            <v>182526</v>
          </cell>
          <cell r="F256">
            <v>857</v>
          </cell>
          <cell r="G256">
            <v>11.34</v>
          </cell>
          <cell r="H256">
            <v>9718.3799999999992</v>
          </cell>
          <cell r="I256" t="str">
            <v>CRANBERRY</v>
          </cell>
          <cell r="J256" t="str">
            <v>Cranberry - Sliced</v>
          </cell>
          <cell r="K256" t="str">
            <v>Sliced</v>
          </cell>
          <cell r="L256" t="str">
            <v>Nona</v>
          </cell>
          <cell r="M256" t="str">
            <v>Dried Cranberry Sliced</v>
          </cell>
          <cell r="N256" t="str">
            <v>CFPL</v>
          </cell>
          <cell r="O256" t="str">
            <v>Savla</v>
          </cell>
          <cell r="P256" t="str">
            <v>Local</v>
          </cell>
          <cell r="Q256">
            <v>345</v>
          </cell>
          <cell r="R256">
            <v>3352841.1</v>
          </cell>
          <cell r="S256">
            <v>92</v>
          </cell>
          <cell r="T256" t="str">
            <v>91-180 Days</v>
          </cell>
          <cell r="U256">
            <v>857</v>
          </cell>
          <cell r="V256" t="str">
            <v>90626000-1 to 90626000-857</v>
          </cell>
        </row>
        <row r="257">
          <cell r="E257" t="str">
            <v>182726</v>
          </cell>
          <cell r="F257">
            <v>50</v>
          </cell>
          <cell r="G257">
            <v>10</v>
          </cell>
          <cell r="H257">
            <v>500</v>
          </cell>
          <cell r="I257" t="str">
            <v>PISTA</v>
          </cell>
          <cell r="J257" t="str">
            <v>Pista - Kernel</v>
          </cell>
          <cell r="K257" t="str">
            <v>Magaz</v>
          </cell>
          <cell r="L257" t="str">
            <v>Kernels</v>
          </cell>
          <cell r="M257" t="str">
            <v>Pista Kernel</v>
          </cell>
          <cell r="N257" t="str">
            <v>CFPL</v>
          </cell>
          <cell r="O257" t="str">
            <v>Savla</v>
          </cell>
          <cell r="P257" t="str">
            <v>Local</v>
          </cell>
          <cell r="Q257">
            <v>1904.77</v>
          </cell>
          <cell r="R257">
            <v>952385</v>
          </cell>
          <cell r="S257">
            <v>89</v>
          </cell>
          <cell r="T257" t="str">
            <v>61-90 Days</v>
          </cell>
          <cell r="U257">
            <v>50</v>
          </cell>
          <cell r="V257" t="str">
            <v>90627000-1 to 90627000-50</v>
          </cell>
        </row>
        <row r="258">
          <cell r="E258" t="str">
            <v>183026</v>
          </cell>
          <cell r="F258">
            <v>20</v>
          </cell>
          <cell r="G258">
            <v>5</v>
          </cell>
          <cell r="H258">
            <v>100</v>
          </cell>
          <cell r="I258" t="str">
            <v>DATES</v>
          </cell>
          <cell r="J258" t="str">
            <v>Deri</v>
          </cell>
          <cell r="K258" t="str">
            <v>Deri</v>
          </cell>
          <cell r="L258" t="str">
            <v>Deri</v>
          </cell>
          <cell r="M258" t="str">
            <v>Deri Dates</v>
          </cell>
          <cell r="N258" t="str">
            <v>CFPL</v>
          </cell>
          <cell r="O258" t="str">
            <v>Savla</v>
          </cell>
          <cell r="P258" t="str">
            <v>Hadiklaim</v>
          </cell>
          <cell r="Q258">
            <v>303</v>
          </cell>
          <cell r="R258">
            <v>30300</v>
          </cell>
          <cell r="S258">
            <v>88</v>
          </cell>
          <cell r="T258" t="str">
            <v>61-90 Days</v>
          </cell>
          <cell r="U258">
            <v>20</v>
          </cell>
          <cell r="V258" t="str">
            <v>90645000-175 to 90645000-194</v>
          </cell>
        </row>
        <row r="259">
          <cell r="E259" t="str">
            <v>183027</v>
          </cell>
          <cell r="F259">
            <v>193</v>
          </cell>
          <cell r="G259">
            <v>5</v>
          </cell>
          <cell r="H259">
            <v>965</v>
          </cell>
          <cell r="I259" t="str">
            <v>DATES</v>
          </cell>
          <cell r="J259" t="str">
            <v>Deri</v>
          </cell>
          <cell r="K259" t="str">
            <v>Deri</v>
          </cell>
          <cell r="L259" t="str">
            <v>Deri</v>
          </cell>
          <cell r="M259" t="str">
            <v>Deri Dates</v>
          </cell>
          <cell r="N259" t="str">
            <v>CFPL</v>
          </cell>
          <cell r="O259" t="str">
            <v>Savla</v>
          </cell>
          <cell r="P259" t="str">
            <v>Hadiklaim</v>
          </cell>
          <cell r="Q259">
            <v>303</v>
          </cell>
          <cell r="R259">
            <v>292395</v>
          </cell>
          <cell r="S259">
            <v>88</v>
          </cell>
          <cell r="T259" t="str">
            <v>61-90 Days</v>
          </cell>
          <cell r="U259">
            <v>193</v>
          </cell>
          <cell r="V259" t="str">
            <v>90644000-2 to 90644000-194</v>
          </cell>
        </row>
        <row r="260">
          <cell r="E260" t="str">
            <v>183028</v>
          </cell>
          <cell r="F260">
            <v>194</v>
          </cell>
          <cell r="G260">
            <v>5</v>
          </cell>
          <cell r="H260">
            <v>970</v>
          </cell>
          <cell r="I260" t="str">
            <v>DATES</v>
          </cell>
          <cell r="J260" t="str">
            <v>Deri</v>
          </cell>
          <cell r="K260" t="str">
            <v>Deri</v>
          </cell>
          <cell r="L260" t="str">
            <v>Deri</v>
          </cell>
          <cell r="M260" t="str">
            <v>Deri Dates</v>
          </cell>
          <cell r="N260" t="str">
            <v>CFPL</v>
          </cell>
          <cell r="O260" t="str">
            <v>Savla</v>
          </cell>
          <cell r="P260" t="str">
            <v>Hadiklaim</v>
          </cell>
          <cell r="Q260">
            <v>303</v>
          </cell>
          <cell r="R260">
            <v>293910</v>
          </cell>
          <cell r="S260">
            <v>88</v>
          </cell>
          <cell r="T260" t="str">
            <v>61-90 Days</v>
          </cell>
          <cell r="U260">
            <v>194</v>
          </cell>
          <cell r="V260" t="str">
            <v>90643000-1 to 90643000-194</v>
          </cell>
        </row>
        <row r="261">
          <cell r="E261" t="str">
            <v>183030</v>
          </cell>
          <cell r="F261">
            <v>194</v>
          </cell>
          <cell r="G261">
            <v>5</v>
          </cell>
          <cell r="H261">
            <v>970</v>
          </cell>
          <cell r="I261" t="str">
            <v>DATES</v>
          </cell>
          <cell r="J261" t="str">
            <v>Deri</v>
          </cell>
          <cell r="K261" t="str">
            <v>Deri</v>
          </cell>
          <cell r="L261" t="str">
            <v>Deri</v>
          </cell>
          <cell r="M261" t="str">
            <v>Deri Dates</v>
          </cell>
          <cell r="N261" t="str">
            <v>CFPL</v>
          </cell>
          <cell r="O261" t="str">
            <v>Savla</v>
          </cell>
          <cell r="P261" t="str">
            <v>Hadiklaim</v>
          </cell>
          <cell r="Q261">
            <v>303</v>
          </cell>
          <cell r="R261">
            <v>293910</v>
          </cell>
          <cell r="S261">
            <v>88</v>
          </cell>
          <cell r="T261" t="str">
            <v>61-90 Days</v>
          </cell>
          <cell r="U261">
            <v>194</v>
          </cell>
          <cell r="V261" t="str">
            <v>90629000-1 to 90629000-194</v>
          </cell>
        </row>
        <row r="262">
          <cell r="E262" t="str">
            <v>183031</v>
          </cell>
          <cell r="F262">
            <v>194</v>
          </cell>
          <cell r="G262">
            <v>5</v>
          </cell>
          <cell r="H262">
            <v>970</v>
          </cell>
          <cell r="I262" t="str">
            <v>DATES</v>
          </cell>
          <cell r="J262" t="str">
            <v>Deri</v>
          </cell>
          <cell r="K262" t="str">
            <v>Deri</v>
          </cell>
          <cell r="L262" t="str">
            <v>Deri</v>
          </cell>
          <cell r="M262" t="str">
            <v>Deri Dates</v>
          </cell>
          <cell r="N262" t="str">
            <v>CFPL</v>
          </cell>
          <cell r="O262" t="str">
            <v>Savla</v>
          </cell>
          <cell r="P262" t="str">
            <v>Hadiklaim</v>
          </cell>
          <cell r="Q262">
            <v>303</v>
          </cell>
          <cell r="R262">
            <v>293910</v>
          </cell>
          <cell r="S262">
            <v>88</v>
          </cell>
          <cell r="T262" t="str">
            <v>61-90 Days</v>
          </cell>
          <cell r="U262">
            <v>194</v>
          </cell>
          <cell r="V262" t="str">
            <v>90630000-1 to 90630000-194</v>
          </cell>
        </row>
        <row r="263">
          <cell r="E263" t="str">
            <v>183032</v>
          </cell>
          <cell r="F263">
            <v>144</v>
          </cell>
          <cell r="G263">
            <v>5</v>
          </cell>
          <cell r="H263">
            <v>720</v>
          </cell>
          <cell r="I263" t="str">
            <v>DATES</v>
          </cell>
          <cell r="J263" t="str">
            <v>Deri</v>
          </cell>
          <cell r="K263" t="str">
            <v>Deri</v>
          </cell>
          <cell r="L263" t="str">
            <v>Deri</v>
          </cell>
          <cell r="M263" t="str">
            <v>Deri Dates</v>
          </cell>
          <cell r="N263" t="str">
            <v>CFPL</v>
          </cell>
          <cell r="O263" t="str">
            <v>Savla</v>
          </cell>
          <cell r="P263" t="str">
            <v>Hadiklaim</v>
          </cell>
          <cell r="Q263">
            <v>303</v>
          </cell>
          <cell r="R263">
            <v>218160</v>
          </cell>
          <cell r="S263">
            <v>88</v>
          </cell>
          <cell r="T263" t="str">
            <v>61-90 Days</v>
          </cell>
          <cell r="U263">
            <v>144</v>
          </cell>
          <cell r="V263" t="str">
            <v>90631000-51 to 90631000-194</v>
          </cell>
        </row>
        <row r="264">
          <cell r="E264" t="str">
            <v>183033</v>
          </cell>
          <cell r="F264">
            <v>194</v>
          </cell>
          <cell r="G264">
            <v>5</v>
          </cell>
          <cell r="H264">
            <v>970</v>
          </cell>
          <cell r="I264" t="str">
            <v>DATES</v>
          </cell>
          <cell r="J264" t="str">
            <v>Deri</v>
          </cell>
          <cell r="K264" t="str">
            <v>Deri</v>
          </cell>
          <cell r="L264" t="str">
            <v>Deri</v>
          </cell>
          <cell r="M264" t="str">
            <v>Deri Dates</v>
          </cell>
          <cell r="N264" t="str">
            <v>CFPL</v>
          </cell>
          <cell r="O264" t="str">
            <v>Savla</v>
          </cell>
          <cell r="P264" t="str">
            <v>Hadiklaim</v>
          </cell>
          <cell r="Q264">
            <v>303</v>
          </cell>
          <cell r="R264">
            <v>293910</v>
          </cell>
          <cell r="S264">
            <v>88</v>
          </cell>
          <cell r="T264" t="str">
            <v>61-90 Days</v>
          </cell>
          <cell r="U264">
            <v>194</v>
          </cell>
          <cell r="V264" t="str">
            <v>90632000-1 to 90632000-194</v>
          </cell>
        </row>
        <row r="265">
          <cell r="E265" t="str">
            <v>183042</v>
          </cell>
          <cell r="F265">
            <v>193</v>
          </cell>
          <cell r="G265">
            <v>5</v>
          </cell>
          <cell r="H265">
            <v>965</v>
          </cell>
          <cell r="I265" t="str">
            <v>DATES</v>
          </cell>
          <cell r="J265" t="str">
            <v>Deri</v>
          </cell>
          <cell r="K265" t="str">
            <v>Deri</v>
          </cell>
          <cell r="L265" t="str">
            <v>Deri</v>
          </cell>
          <cell r="M265" t="str">
            <v>Deri Dates</v>
          </cell>
          <cell r="N265" t="str">
            <v>CFPL</v>
          </cell>
          <cell r="O265" t="str">
            <v>Savla</v>
          </cell>
          <cell r="P265" t="str">
            <v>Hadiklaim</v>
          </cell>
          <cell r="Q265">
            <v>303</v>
          </cell>
          <cell r="R265">
            <v>292395</v>
          </cell>
          <cell r="S265">
            <v>88</v>
          </cell>
          <cell r="T265" t="str">
            <v>61-90 Days</v>
          </cell>
          <cell r="U265">
            <v>193</v>
          </cell>
          <cell r="V265" t="str">
            <v>90646000-2 to 90646000-194</v>
          </cell>
        </row>
        <row r="266">
          <cell r="E266" t="str">
            <v>183043</v>
          </cell>
          <cell r="F266">
            <v>194</v>
          </cell>
          <cell r="G266">
            <v>5</v>
          </cell>
          <cell r="H266">
            <v>970</v>
          </cell>
          <cell r="I266" t="str">
            <v>DATES</v>
          </cell>
          <cell r="J266" t="str">
            <v>Deri</v>
          </cell>
          <cell r="K266" t="str">
            <v>Deri</v>
          </cell>
          <cell r="L266" t="str">
            <v>Deri</v>
          </cell>
          <cell r="M266" t="str">
            <v>Deri Dates</v>
          </cell>
          <cell r="N266" t="str">
            <v>CFPL</v>
          </cell>
          <cell r="O266" t="str">
            <v>Savla</v>
          </cell>
          <cell r="P266" t="str">
            <v>Hadiklaim</v>
          </cell>
          <cell r="Q266">
            <v>303</v>
          </cell>
          <cell r="R266">
            <v>293910</v>
          </cell>
          <cell r="S266">
            <v>88</v>
          </cell>
          <cell r="T266" t="str">
            <v>61-90 Days</v>
          </cell>
          <cell r="U266">
            <v>194</v>
          </cell>
          <cell r="V266" t="str">
            <v>90633000-1 to 90633000-194</v>
          </cell>
        </row>
        <row r="267">
          <cell r="E267" t="str">
            <v>183044</v>
          </cell>
          <cell r="F267">
            <v>194</v>
          </cell>
          <cell r="G267">
            <v>5</v>
          </cell>
          <cell r="H267">
            <v>970</v>
          </cell>
          <cell r="I267" t="str">
            <v>DATES</v>
          </cell>
          <cell r="J267" t="str">
            <v>Deri</v>
          </cell>
          <cell r="K267" t="str">
            <v>Deri</v>
          </cell>
          <cell r="L267" t="str">
            <v>Deri</v>
          </cell>
          <cell r="M267" t="str">
            <v>Deri Dates</v>
          </cell>
          <cell r="N267" t="str">
            <v>CFPL</v>
          </cell>
          <cell r="O267" t="str">
            <v>Savla</v>
          </cell>
          <cell r="P267" t="str">
            <v>Hadiklaim</v>
          </cell>
          <cell r="Q267">
            <v>303</v>
          </cell>
          <cell r="R267">
            <v>293910</v>
          </cell>
          <cell r="S267">
            <v>88</v>
          </cell>
          <cell r="T267" t="str">
            <v>61-90 Days</v>
          </cell>
          <cell r="U267">
            <v>194</v>
          </cell>
          <cell r="V267" t="str">
            <v>90634000-1 to 90634000-194</v>
          </cell>
        </row>
        <row r="268">
          <cell r="E268" t="str">
            <v>183045</v>
          </cell>
          <cell r="F268">
            <v>194</v>
          </cell>
          <cell r="G268">
            <v>5</v>
          </cell>
          <cell r="H268">
            <v>970</v>
          </cell>
          <cell r="I268" t="str">
            <v>DATES</v>
          </cell>
          <cell r="J268" t="str">
            <v>Deri</v>
          </cell>
          <cell r="K268" t="str">
            <v>Deri</v>
          </cell>
          <cell r="L268" t="str">
            <v>Deri</v>
          </cell>
          <cell r="M268" t="str">
            <v>Deri Dates</v>
          </cell>
          <cell r="N268" t="str">
            <v>CFPL</v>
          </cell>
          <cell r="O268" t="str">
            <v>Savla</v>
          </cell>
          <cell r="P268" t="str">
            <v>Hadiklaim</v>
          </cell>
          <cell r="Q268">
            <v>303</v>
          </cell>
          <cell r="R268">
            <v>293910</v>
          </cell>
          <cell r="S268">
            <v>88</v>
          </cell>
          <cell r="T268" t="str">
            <v>61-90 Days</v>
          </cell>
          <cell r="U268">
            <v>194</v>
          </cell>
          <cell r="V268" t="str">
            <v>90635000-1 to 90635000-194</v>
          </cell>
        </row>
        <row r="269">
          <cell r="E269" t="str">
            <v>183046</v>
          </cell>
          <cell r="F269">
            <v>194</v>
          </cell>
          <cell r="G269">
            <v>5</v>
          </cell>
          <cell r="H269">
            <v>970</v>
          </cell>
          <cell r="I269" t="str">
            <v>DATES</v>
          </cell>
          <cell r="J269" t="str">
            <v>Deri</v>
          </cell>
          <cell r="K269" t="str">
            <v>Deri</v>
          </cell>
          <cell r="L269" t="str">
            <v>Deri</v>
          </cell>
          <cell r="M269" t="str">
            <v>Deri Dates</v>
          </cell>
          <cell r="N269" t="str">
            <v>CFPL</v>
          </cell>
          <cell r="O269" t="str">
            <v>Savla</v>
          </cell>
          <cell r="P269" t="str">
            <v>Hadiklaim</v>
          </cell>
          <cell r="Q269">
            <v>303</v>
          </cell>
          <cell r="R269">
            <v>293910</v>
          </cell>
          <cell r="S269">
            <v>88</v>
          </cell>
          <cell r="T269" t="str">
            <v>61-90 Days</v>
          </cell>
          <cell r="U269">
            <v>194</v>
          </cell>
          <cell r="V269" t="str">
            <v>90636000-1 to 90636000-194</v>
          </cell>
        </row>
        <row r="270">
          <cell r="E270" t="str">
            <v>183047</v>
          </cell>
          <cell r="F270">
            <v>194</v>
          </cell>
          <cell r="G270">
            <v>5</v>
          </cell>
          <cell r="H270">
            <v>970</v>
          </cell>
          <cell r="I270" t="str">
            <v>DATES</v>
          </cell>
          <cell r="J270" t="str">
            <v>Deri</v>
          </cell>
          <cell r="K270" t="str">
            <v>Deri</v>
          </cell>
          <cell r="L270" t="str">
            <v>Deri</v>
          </cell>
          <cell r="M270" t="str">
            <v>Deri Dates</v>
          </cell>
          <cell r="N270" t="str">
            <v>CFPL</v>
          </cell>
          <cell r="O270" t="str">
            <v>Savla</v>
          </cell>
          <cell r="P270" t="str">
            <v>Hadiklaim</v>
          </cell>
          <cell r="Q270">
            <v>303</v>
          </cell>
          <cell r="R270">
            <v>293910</v>
          </cell>
          <cell r="S270">
            <v>88</v>
          </cell>
          <cell r="T270" t="str">
            <v>61-90 Days</v>
          </cell>
          <cell r="U270">
            <v>194</v>
          </cell>
          <cell r="V270" t="str">
            <v>90637000-1 to 90637000-194</v>
          </cell>
        </row>
        <row r="271">
          <cell r="E271" t="str">
            <v>183049</v>
          </cell>
          <cell r="F271">
            <v>194</v>
          </cell>
          <cell r="G271">
            <v>5</v>
          </cell>
          <cell r="H271">
            <v>970</v>
          </cell>
          <cell r="I271" t="str">
            <v>DATES</v>
          </cell>
          <cell r="J271" t="str">
            <v>Deri</v>
          </cell>
          <cell r="K271" t="str">
            <v>Deri</v>
          </cell>
          <cell r="L271" t="str">
            <v>Deri</v>
          </cell>
          <cell r="M271" t="str">
            <v>Deri Dates</v>
          </cell>
          <cell r="N271" t="str">
            <v>CFPL</v>
          </cell>
          <cell r="O271" t="str">
            <v>Savla</v>
          </cell>
          <cell r="P271" t="str">
            <v>Hadiklaim</v>
          </cell>
          <cell r="Q271">
            <v>303</v>
          </cell>
          <cell r="R271">
            <v>293910</v>
          </cell>
          <cell r="S271">
            <v>88</v>
          </cell>
          <cell r="T271" t="str">
            <v>61-90 Days</v>
          </cell>
          <cell r="U271">
            <v>194</v>
          </cell>
          <cell r="V271" t="str">
            <v>90638000-1 to 90638000-194</v>
          </cell>
        </row>
        <row r="272">
          <cell r="E272" t="str">
            <v>183050</v>
          </cell>
          <cell r="F272">
            <v>194</v>
          </cell>
          <cell r="G272">
            <v>5</v>
          </cell>
          <cell r="H272">
            <v>970</v>
          </cell>
          <cell r="I272" t="str">
            <v>DATES</v>
          </cell>
          <cell r="J272" t="str">
            <v>Deri</v>
          </cell>
          <cell r="K272" t="str">
            <v>Deri</v>
          </cell>
          <cell r="L272" t="str">
            <v>Deri</v>
          </cell>
          <cell r="M272" t="str">
            <v>Deri Dates</v>
          </cell>
          <cell r="N272" t="str">
            <v>CFPL</v>
          </cell>
          <cell r="O272" t="str">
            <v>Savla</v>
          </cell>
          <cell r="P272" t="str">
            <v>Hadiklaim</v>
          </cell>
          <cell r="Q272">
            <v>303</v>
          </cell>
          <cell r="R272">
            <v>293910</v>
          </cell>
          <cell r="S272">
            <v>88</v>
          </cell>
          <cell r="T272" t="str">
            <v>61-90 Days</v>
          </cell>
          <cell r="U272">
            <v>194</v>
          </cell>
          <cell r="V272" t="str">
            <v>90639000-1 to 90639000-194</v>
          </cell>
        </row>
        <row r="273">
          <cell r="E273" t="str">
            <v>183057</v>
          </cell>
          <cell r="F273">
            <v>135</v>
          </cell>
          <cell r="G273">
            <v>5</v>
          </cell>
          <cell r="H273">
            <v>675</v>
          </cell>
          <cell r="I273" t="str">
            <v>DATES</v>
          </cell>
          <cell r="J273" t="str">
            <v>Deri</v>
          </cell>
          <cell r="K273" t="str">
            <v>Deri</v>
          </cell>
          <cell r="L273" t="str">
            <v>Deri</v>
          </cell>
          <cell r="M273" t="str">
            <v>Deri Dates</v>
          </cell>
          <cell r="N273" t="str">
            <v>CFPL</v>
          </cell>
          <cell r="O273" t="str">
            <v>Savla</v>
          </cell>
          <cell r="P273" t="str">
            <v>Hadiklaim</v>
          </cell>
          <cell r="Q273">
            <v>303</v>
          </cell>
          <cell r="R273">
            <v>204525</v>
          </cell>
          <cell r="S273">
            <v>88</v>
          </cell>
          <cell r="T273" t="str">
            <v>61-90 Days</v>
          </cell>
          <cell r="U273">
            <v>135</v>
          </cell>
          <cell r="V273" t="str">
            <v>90640000-13 to 90640000-147</v>
          </cell>
        </row>
        <row r="274">
          <cell r="E274" t="str">
            <v>183059</v>
          </cell>
          <cell r="F274">
            <v>194</v>
          </cell>
          <cell r="G274">
            <v>5</v>
          </cell>
          <cell r="H274">
            <v>970</v>
          </cell>
          <cell r="I274" t="str">
            <v>DATES</v>
          </cell>
          <cell r="J274" t="str">
            <v>Deri</v>
          </cell>
          <cell r="K274" t="str">
            <v>Deri</v>
          </cell>
          <cell r="L274" t="str">
            <v>Deri</v>
          </cell>
          <cell r="M274" t="str">
            <v>Deri Dates</v>
          </cell>
          <cell r="N274" t="str">
            <v>CFPL</v>
          </cell>
          <cell r="O274" t="str">
            <v>Savla</v>
          </cell>
          <cell r="P274" t="str">
            <v>Hadiklaim</v>
          </cell>
          <cell r="Q274">
            <v>303</v>
          </cell>
          <cell r="R274">
            <v>293910</v>
          </cell>
          <cell r="S274">
            <v>88</v>
          </cell>
          <cell r="T274" t="str">
            <v>61-90 Days</v>
          </cell>
          <cell r="U274">
            <v>194</v>
          </cell>
          <cell r="V274" t="str">
            <v>90642000-1 to 90642000-194</v>
          </cell>
        </row>
        <row r="275">
          <cell r="E275" t="str">
            <v>183172</v>
          </cell>
          <cell r="F275">
            <v>9</v>
          </cell>
          <cell r="G275">
            <v>13.6</v>
          </cell>
          <cell r="H275">
            <v>122.4</v>
          </cell>
          <cell r="I275" t="str">
            <v>PREMIUM NUTS</v>
          </cell>
          <cell r="J275" t="str">
            <v>Pecan Nuts</v>
          </cell>
          <cell r="K275" t="str">
            <v>Pecan</v>
          </cell>
          <cell r="L275" t="str">
            <v>Tukda</v>
          </cell>
          <cell r="M275" t="str">
            <v>Pecan Nuts</v>
          </cell>
          <cell r="N275" t="str">
            <v>CFPL</v>
          </cell>
          <cell r="O275" t="str">
            <v>Savla</v>
          </cell>
          <cell r="P275" t="str">
            <v>0</v>
          </cell>
          <cell r="Q275">
            <v>1380</v>
          </cell>
          <cell r="R275">
            <v>168912</v>
          </cell>
          <cell r="S275">
            <v>87</v>
          </cell>
          <cell r="T275" t="str">
            <v>61-90 Days</v>
          </cell>
          <cell r="U275">
            <v>9</v>
          </cell>
          <cell r="V275" t="str">
            <v>90653000-1 to 90653000-9</v>
          </cell>
        </row>
        <row r="276">
          <cell r="E276" t="str">
            <v>183173</v>
          </cell>
          <cell r="F276">
            <v>1</v>
          </cell>
          <cell r="G276">
            <v>10</v>
          </cell>
          <cell r="H276">
            <v>10</v>
          </cell>
          <cell r="I276" t="str">
            <v>PREMIUM NUTS</v>
          </cell>
          <cell r="J276" t="str">
            <v>Macadamia Nuts</v>
          </cell>
          <cell r="K276" t="str">
            <v>NIS Vanilla</v>
          </cell>
          <cell r="L276" t="str">
            <v>Vanilla</v>
          </cell>
          <cell r="M276" t="str">
            <v>Macadamia Vanilla Whole - 320* Cut</v>
          </cell>
          <cell r="N276" t="str">
            <v>CFPL</v>
          </cell>
          <cell r="O276" t="str">
            <v>Savla</v>
          </cell>
          <cell r="P276" t="str">
            <v>0</v>
          </cell>
          <cell r="Q276">
            <v>625</v>
          </cell>
          <cell r="R276">
            <v>6250</v>
          </cell>
          <cell r="S276">
            <v>87</v>
          </cell>
          <cell r="T276" t="str">
            <v>61-90 Days</v>
          </cell>
          <cell r="U276">
            <v>1</v>
          </cell>
          <cell r="V276" t="str">
            <v>90654000-1</v>
          </cell>
        </row>
        <row r="277">
          <cell r="E277" t="str">
            <v>183174</v>
          </cell>
          <cell r="F277">
            <v>2</v>
          </cell>
          <cell r="G277">
            <v>10</v>
          </cell>
          <cell r="H277">
            <v>20</v>
          </cell>
          <cell r="I277" t="str">
            <v>PREMIUM NUTS</v>
          </cell>
          <cell r="J277" t="str">
            <v>Macadamia Nuts</v>
          </cell>
          <cell r="K277" t="str">
            <v>Wasabi Style 4</v>
          </cell>
          <cell r="L277" t="str">
            <v>Wasabi Style 4</v>
          </cell>
          <cell r="M277" t="str">
            <v>WASABI MACADAMIA STYLE 4</v>
          </cell>
          <cell r="N277" t="str">
            <v>CFPL</v>
          </cell>
          <cell r="O277" t="str">
            <v>Savla</v>
          </cell>
          <cell r="P277" t="str">
            <v>Crestnut</v>
          </cell>
          <cell r="Q277">
            <v>1785</v>
          </cell>
          <cell r="R277">
            <v>35700</v>
          </cell>
          <cell r="S277">
            <v>87</v>
          </cell>
          <cell r="T277" t="str">
            <v>61-90 Days</v>
          </cell>
          <cell r="U277">
            <v>2</v>
          </cell>
          <cell r="V277" t="str">
            <v>90655000-1 to 90655000-2</v>
          </cell>
        </row>
        <row r="278">
          <cell r="E278" t="str">
            <v>183175</v>
          </cell>
          <cell r="F278">
            <v>2</v>
          </cell>
          <cell r="G278">
            <v>10</v>
          </cell>
          <cell r="H278">
            <v>20</v>
          </cell>
          <cell r="I278" t="str">
            <v>PREMIUM NUTS</v>
          </cell>
          <cell r="J278" t="str">
            <v>Macadamia Nuts</v>
          </cell>
          <cell r="K278" t="str">
            <v>Fingerlime Jalapeno</v>
          </cell>
          <cell r="L278" t="str">
            <v>Fingerline Jalapeno</v>
          </cell>
          <cell r="M278" t="str">
            <v>MACADAMIA FINGER LIME &amp; JALAPENO</v>
          </cell>
          <cell r="N278" t="str">
            <v>CFPL</v>
          </cell>
          <cell r="O278" t="str">
            <v>Savla</v>
          </cell>
          <cell r="P278" t="str">
            <v>Crestnut</v>
          </cell>
          <cell r="Q278">
            <v>1785</v>
          </cell>
          <cell r="R278">
            <v>35700</v>
          </cell>
          <cell r="S278">
            <v>87</v>
          </cell>
          <cell r="T278" t="str">
            <v>61-90 Days</v>
          </cell>
          <cell r="U278">
            <v>2</v>
          </cell>
          <cell r="V278" t="str">
            <v>90656000-1 to 90656000-2</v>
          </cell>
        </row>
        <row r="279">
          <cell r="E279" t="str">
            <v>183176</v>
          </cell>
          <cell r="F279">
            <v>2</v>
          </cell>
          <cell r="G279">
            <v>10</v>
          </cell>
          <cell r="H279">
            <v>20</v>
          </cell>
          <cell r="I279" t="str">
            <v>PREMIUM NUTS</v>
          </cell>
          <cell r="J279" t="str">
            <v>Macadamia Nuts</v>
          </cell>
          <cell r="K279" t="str">
            <v>Rosemary &amp; Seasalt</v>
          </cell>
          <cell r="L279" t="str">
            <v>Rosemary &amp; Seasalt</v>
          </cell>
          <cell r="M279" t="str">
            <v>MACADAMIA ROSEMARY &amp; SEA SALT</v>
          </cell>
          <cell r="N279" t="str">
            <v>CFPL</v>
          </cell>
          <cell r="O279" t="str">
            <v>Savla</v>
          </cell>
          <cell r="P279" t="str">
            <v>Crestnut</v>
          </cell>
          <cell r="Q279">
            <v>1785</v>
          </cell>
          <cell r="R279">
            <v>35700</v>
          </cell>
          <cell r="S279">
            <v>87</v>
          </cell>
          <cell r="T279" t="str">
            <v>61-90 Days</v>
          </cell>
          <cell r="U279">
            <v>2</v>
          </cell>
          <cell r="V279" t="str">
            <v>90657000-1 to 90657000-2</v>
          </cell>
        </row>
        <row r="280">
          <cell r="E280" t="str">
            <v>183177</v>
          </cell>
          <cell r="F280">
            <v>1</v>
          </cell>
          <cell r="G280">
            <v>10</v>
          </cell>
          <cell r="H280">
            <v>10</v>
          </cell>
          <cell r="I280" t="str">
            <v>PREMIUM NUTS</v>
          </cell>
          <cell r="J280" t="str">
            <v>Macadamia Nuts</v>
          </cell>
          <cell r="K280" t="str">
            <v>R&amp;S Seasalt</v>
          </cell>
          <cell r="L280" t="str">
            <v>R&amp;S Seasalt</v>
          </cell>
          <cell r="M280" t="str">
            <v>MACADAMIA NIS - ROASTED SEA SALT</v>
          </cell>
          <cell r="N280" t="str">
            <v>CFPL</v>
          </cell>
          <cell r="O280" t="str">
            <v>Savla</v>
          </cell>
          <cell r="P280" t="str">
            <v>Crestnut</v>
          </cell>
          <cell r="Q280">
            <v>910</v>
          </cell>
          <cell r="R280">
            <v>9100</v>
          </cell>
          <cell r="S280">
            <v>87</v>
          </cell>
          <cell r="T280" t="str">
            <v>61-90 Days</v>
          </cell>
          <cell r="U280">
            <v>1</v>
          </cell>
          <cell r="V280" t="str">
            <v>90658000-1</v>
          </cell>
        </row>
        <row r="281">
          <cell r="E281" t="str">
            <v>183833</v>
          </cell>
          <cell r="F281">
            <v>122</v>
          </cell>
          <cell r="G281">
            <v>11.34</v>
          </cell>
          <cell r="H281">
            <v>1383.48</v>
          </cell>
          <cell r="I281" t="str">
            <v>CRANBERRY</v>
          </cell>
          <cell r="J281" t="str">
            <v>Cranberry - Sliced</v>
          </cell>
          <cell r="K281" t="str">
            <v>Sliced</v>
          </cell>
          <cell r="L281" t="str">
            <v>Sliced</v>
          </cell>
          <cell r="M281" t="str">
            <v>Dried Cranberry Sliced</v>
          </cell>
          <cell r="N281" t="str">
            <v>CFPL</v>
          </cell>
          <cell r="O281" t="str">
            <v>Savla</v>
          </cell>
          <cell r="P281" t="str">
            <v>Local</v>
          </cell>
          <cell r="Q281">
            <v>385</v>
          </cell>
          <cell r="R281">
            <v>532639.80000000005</v>
          </cell>
          <cell r="S281">
            <v>80</v>
          </cell>
          <cell r="T281" t="str">
            <v>61-90 Days</v>
          </cell>
          <cell r="U281">
            <v>122</v>
          </cell>
          <cell r="V281" t="str">
            <v>90661000-347 to 90661000-468</v>
          </cell>
        </row>
        <row r="282">
          <cell r="E282" t="str">
            <v>184056</v>
          </cell>
          <cell r="F282">
            <v>40</v>
          </cell>
          <cell r="G282">
            <v>25</v>
          </cell>
          <cell r="H282">
            <v>1000</v>
          </cell>
          <cell r="I282" t="str">
            <v>SEEDS</v>
          </cell>
          <cell r="J282" t="str">
            <v>Sunflower</v>
          </cell>
          <cell r="K282" t="str">
            <v>Sunflower</v>
          </cell>
          <cell r="L282" t="str">
            <v>Seeds</v>
          </cell>
          <cell r="M282" t="str">
            <v>Sunflower Seeds</v>
          </cell>
          <cell r="N282" t="str">
            <v>CFPL</v>
          </cell>
          <cell r="O282" t="str">
            <v>Savla</v>
          </cell>
          <cell r="P282" t="str">
            <v>0</v>
          </cell>
          <cell r="Q282">
            <v>140</v>
          </cell>
          <cell r="R282">
            <v>140000</v>
          </cell>
          <cell r="S282">
            <v>78</v>
          </cell>
          <cell r="T282" t="str">
            <v>61-90 Days</v>
          </cell>
          <cell r="U282">
            <v>40</v>
          </cell>
          <cell r="V282" t="str">
            <v>90662000-81 to 90662000-120</v>
          </cell>
        </row>
        <row r="283">
          <cell r="E283" t="str">
            <v>184766</v>
          </cell>
          <cell r="F283">
            <v>738</v>
          </cell>
          <cell r="G283">
            <v>11.35</v>
          </cell>
          <cell r="H283">
            <v>8376.2999999999993</v>
          </cell>
          <cell r="I283" t="str">
            <v>PISTA</v>
          </cell>
          <cell r="J283" t="str">
            <v>Pista - Inshell</v>
          </cell>
          <cell r="K283" t="str">
            <v>California 21-25</v>
          </cell>
          <cell r="L283" t="str">
            <v>Inshell</v>
          </cell>
          <cell r="M283" t="str">
            <v>California Pista Inshell</v>
          </cell>
          <cell r="N283" t="str">
            <v>CFPL</v>
          </cell>
          <cell r="O283" t="str">
            <v>Savla</v>
          </cell>
          <cell r="P283" t="str">
            <v>Wonderful</v>
          </cell>
          <cell r="Q283">
            <v>971</v>
          </cell>
          <cell r="R283">
            <v>8133387.2999999998</v>
          </cell>
          <cell r="S283">
            <v>73</v>
          </cell>
          <cell r="T283" t="str">
            <v>61-90 Days</v>
          </cell>
          <cell r="U283">
            <v>738</v>
          </cell>
          <cell r="V283" t="str">
            <v>90669000-27 to 90669000-764</v>
          </cell>
        </row>
        <row r="284">
          <cell r="E284" t="str">
            <v>184767</v>
          </cell>
          <cell r="F284">
            <v>76</v>
          </cell>
          <cell r="G284">
            <v>11.182</v>
          </cell>
          <cell r="H284">
            <v>849.68</v>
          </cell>
          <cell r="I284" t="str">
            <v>PISTA</v>
          </cell>
          <cell r="J284" t="str">
            <v>Pista - Inshell</v>
          </cell>
          <cell r="K284" t="str">
            <v>California 21-25</v>
          </cell>
          <cell r="L284" t="str">
            <v>Inshell</v>
          </cell>
          <cell r="M284" t="str">
            <v>California Pista Inshell</v>
          </cell>
          <cell r="N284" t="str">
            <v>CFPL</v>
          </cell>
          <cell r="O284" t="str">
            <v>Savla</v>
          </cell>
          <cell r="P284" t="str">
            <v>Wonderful</v>
          </cell>
          <cell r="Q284">
            <v>971</v>
          </cell>
          <cell r="R284">
            <v>825186.72</v>
          </cell>
          <cell r="S284">
            <v>73</v>
          </cell>
          <cell r="T284" t="str">
            <v>61-90 Days</v>
          </cell>
          <cell r="U284">
            <v>76</v>
          </cell>
          <cell r="V284" t="str">
            <v>90668000-1 to 90668000-76</v>
          </cell>
        </row>
        <row r="285">
          <cell r="E285" t="str">
            <v>185886</v>
          </cell>
          <cell r="F285">
            <v>66</v>
          </cell>
          <cell r="G285">
            <v>15</v>
          </cell>
          <cell r="H285">
            <v>990</v>
          </cell>
          <cell r="I285" t="str">
            <v>RAISIN</v>
          </cell>
          <cell r="J285" t="str">
            <v>Raisin - Indian</v>
          </cell>
          <cell r="K285" t="str">
            <v>Indian</v>
          </cell>
          <cell r="L285" t="str">
            <v>Green</v>
          </cell>
          <cell r="M285" t="str">
            <v>Indian Green Raisins</v>
          </cell>
          <cell r="N285" t="str">
            <v>CFPL</v>
          </cell>
          <cell r="O285" t="str">
            <v>Savla</v>
          </cell>
          <cell r="P285" t="str">
            <v>Local</v>
          </cell>
          <cell r="Q285">
            <v>351</v>
          </cell>
          <cell r="R285">
            <v>347490</v>
          </cell>
          <cell r="S285">
            <v>62</v>
          </cell>
          <cell r="T285" t="str">
            <v>61-90 Days</v>
          </cell>
          <cell r="U285">
            <v>66</v>
          </cell>
          <cell r="V285" t="str">
            <v>90693000-1 to 90693000-66</v>
          </cell>
        </row>
        <row r="286">
          <cell r="E286" t="str">
            <v>185888</v>
          </cell>
          <cell r="F286">
            <v>27</v>
          </cell>
          <cell r="G286">
            <v>15</v>
          </cell>
          <cell r="H286">
            <v>405</v>
          </cell>
          <cell r="I286" t="str">
            <v>RAISIN</v>
          </cell>
          <cell r="J286" t="str">
            <v>Raisin - Indian</v>
          </cell>
          <cell r="K286" t="str">
            <v>Indian</v>
          </cell>
          <cell r="L286" t="str">
            <v>Green</v>
          </cell>
          <cell r="M286" t="str">
            <v>Indian Green Raisins</v>
          </cell>
          <cell r="N286" t="str">
            <v>CFPL</v>
          </cell>
          <cell r="O286" t="str">
            <v>Savla</v>
          </cell>
          <cell r="P286" t="str">
            <v>Local</v>
          </cell>
          <cell r="Q286">
            <v>362</v>
          </cell>
          <cell r="R286">
            <v>146610</v>
          </cell>
          <cell r="S286">
            <v>62</v>
          </cell>
          <cell r="T286" t="str">
            <v>61-90 Days</v>
          </cell>
          <cell r="U286">
            <v>27</v>
          </cell>
          <cell r="V286" t="str">
            <v>90691000-1 to 90691000-27</v>
          </cell>
        </row>
        <row r="287">
          <cell r="E287" t="str">
            <v>185889</v>
          </cell>
          <cell r="F287">
            <v>43</v>
          </cell>
          <cell r="G287">
            <v>15</v>
          </cell>
          <cell r="H287">
            <v>645</v>
          </cell>
          <cell r="I287" t="str">
            <v>RAISIN</v>
          </cell>
          <cell r="J287" t="str">
            <v>Raisin - Indian</v>
          </cell>
          <cell r="K287" t="str">
            <v>Indian</v>
          </cell>
          <cell r="L287" t="str">
            <v>Green</v>
          </cell>
          <cell r="M287" t="str">
            <v>Indian Green Raisins</v>
          </cell>
          <cell r="N287" t="str">
            <v>CFPL</v>
          </cell>
          <cell r="O287" t="str">
            <v>Savla</v>
          </cell>
          <cell r="P287" t="str">
            <v>Local</v>
          </cell>
          <cell r="Q287">
            <v>351</v>
          </cell>
          <cell r="R287">
            <v>226395</v>
          </cell>
          <cell r="S287">
            <v>62</v>
          </cell>
          <cell r="T287" t="str">
            <v>61-90 Days</v>
          </cell>
          <cell r="U287">
            <v>43</v>
          </cell>
          <cell r="V287" t="str">
            <v>90690000-1 to 90690000-43</v>
          </cell>
        </row>
        <row r="288">
          <cell r="E288" t="str">
            <v>185893</v>
          </cell>
          <cell r="F288">
            <v>6</v>
          </cell>
          <cell r="G288">
            <v>15</v>
          </cell>
          <cell r="H288">
            <v>90</v>
          </cell>
          <cell r="I288" t="str">
            <v>RAISIN</v>
          </cell>
          <cell r="J288" t="str">
            <v>Raisin - Indian</v>
          </cell>
          <cell r="K288" t="str">
            <v>Indian</v>
          </cell>
          <cell r="L288" t="str">
            <v>Green</v>
          </cell>
          <cell r="M288" t="str">
            <v>Indian Green Raisins</v>
          </cell>
          <cell r="N288" t="str">
            <v>CFPL</v>
          </cell>
          <cell r="O288" t="str">
            <v>Savla</v>
          </cell>
          <cell r="P288" t="str">
            <v>Local</v>
          </cell>
          <cell r="Q288">
            <v>347</v>
          </cell>
          <cell r="R288">
            <v>31230</v>
          </cell>
          <cell r="S288">
            <v>62</v>
          </cell>
          <cell r="T288" t="str">
            <v>61-90 Days</v>
          </cell>
          <cell r="U288">
            <v>6</v>
          </cell>
          <cell r="V288" t="str">
            <v>90686000-42 to 90686000-47</v>
          </cell>
        </row>
        <row r="289">
          <cell r="E289" t="str">
            <v>185894</v>
          </cell>
          <cell r="F289">
            <v>44</v>
          </cell>
          <cell r="G289">
            <v>15</v>
          </cell>
          <cell r="H289">
            <v>660</v>
          </cell>
          <cell r="I289" t="str">
            <v>RAISIN</v>
          </cell>
          <cell r="J289" t="str">
            <v>Raisin - Indian</v>
          </cell>
          <cell r="K289" t="str">
            <v>Indian</v>
          </cell>
          <cell r="L289" t="str">
            <v>Green</v>
          </cell>
          <cell r="M289" t="str">
            <v>Indian Green Raisins</v>
          </cell>
          <cell r="N289" t="str">
            <v>CFPL</v>
          </cell>
          <cell r="O289" t="str">
            <v>Savla</v>
          </cell>
          <cell r="P289" t="str">
            <v>Local</v>
          </cell>
          <cell r="Q289">
            <v>349</v>
          </cell>
          <cell r="R289">
            <v>230340</v>
          </cell>
          <cell r="S289">
            <v>62</v>
          </cell>
          <cell r="T289" t="str">
            <v>61-90 Days</v>
          </cell>
          <cell r="U289">
            <v>44</v>
          </cell>
          <cell r="V289" t="str">
            <v>90685000-1 to 90685000-44</v>
          </cell>
        </row>
        <row r="290">
          <cell r="E290" t="str">
            <v>185895</v>
          </cell>
          <cell r="F290">
            <v>30</v>
          </cell>
          <cell r="G290">
            <v>15</v>
          </cell>
          <cell r="H290">
            <v>450</v>
          </cell>
          <cell r="I290" t="str">
            <v>RAISIN</v>
          </cell>
          <cell r="J290" t="str">
            <v>Raisin - Indian</v>
          </cell>
          <cell r="K290" t="str">
            <v>Indian</v>
          </cell>
          <cell r="L290" t="str">
            <v>Green</v>
          </cell>
          <cell r="M290" t="str">
            <v>Indian Green Raisins</v>
          </cell>
          <cell r="N290" t="str">
            <v>CFPL</v>
          </cell>
          <cell r="O290" t="str">
            <v>Savla</v>
          </cell>
          <cell r="P290" t="str">
            <v>Local</v>
          </cell>
          <cell r="Q290">
            <v>351</v>
          </cell>
          <cell r="R290">
            <v>157950</v>
          </cell>
          <cell r="S290">
            <v>62</v>
          </cell>
          <cell r="T290" t="str">
            <v>61-90 Days</v>
          </cell>
          <cell r="U290">
            <v>30</v>
          </cell>
          <cell r="V290" t="str">
            <v>24002000-9 to 24002000-38</v>
          </cell>
        </row>
        <row r="291">
          <cell r="E291" t="str">
            <v>185896</v>
          </cell>
          <cell r="F291">
            <v>26</v>
          </cell>
          <cell r="G291">
            <v>15</v>
          </cell>
          <cell r="H291">
            <v>390</v>
          </cell>
          <cell r="I291" t="str">
            <v>RAISIN</v>
          </cell>
          <cell r="J291" t="str">
            <v>Raisin - Indian</v>
          </cell>
          <cell r="K291" t="str">
            <v>Indian</v>
          </cell>
          <cell r="L291" t="str">
            <v>Green</v>
          </cell>
          <cell r="M291" t="str">
            <v>Indian Green Raisins</v>
          </cell>
          <cell r="N291" t="str">
            <v>CFPL</v>
          </cell>
          <cell r="O291" t="str">
            <v>Savla</v>
          </cell>
          <cell r="P291" t="str">
            <v>Local</v>
          </cell>
          <cell r="Q291">
            <v>351</v>
          </cell>
          <cell r="R291">
            <v>136890</v>
          </cell>
          <cell r="S291">
            <v>62</v>
          </cell>
          <cell r="T291" t="str">
            <v>61-90 Days</v>
          </cell>
          <cell r="U291">
            <v>26</v>
          </cell>
          <cell r="V291" t="str">
            <v>24003000-1 to 24003000-26</v>
          </cell>
        </row>
        <row r="292">
          <cell r="E292" t="str">
            <v>185897</v>
          </cell>
          <cell r="F292">
            <v>34</v>
          </cell>
          <cell r="G292">
            <v>15</v>
          </cell>
          <cell r="H292">
            <v>510</v>
          </cell>
          <cell r="I292" t="str">
            <v>RAISIN</v>
          </cell>
          <cell r="J292" t="str">
            <v>Raisin - Indian</v>
          </cell>
          <cell r="K292" t="str">
            <v>Indian</v>
          </cell>
          <cell r="L292" t="str">
            <v>Green</v>
          </cell>
          <cell r="M292" t="str">
            <v>Indian Green Raisins</v>
          </cell>
          <cell r="N292" t="str">
            <v>CFPL</v>
          </cell>
          <cell r="O292" t="str">
            <v>Savla</v>
          </cell>
          <cell r="P292" t="str">
            <v>Local</v>
          </cell>
          <cell r="Q292">
            <v>351</v>
          </cell>
          <cell r="R292">
            <v>179010</v>
          </cell>
          <cell r="S292">
            <v>62</v>
          </cell>
          <cell r="T292" t="str">
            <v>61-90 Days</v>
          </cell>
          <cell r="U292">
            <v>34</v>
          </cell>
          <cell r="V292" t="str">
            <v>90694000-1 to 90694000-34</v>
          </cell>
        </row>
        <row r="293">
          <cell r="E293" t="str">
            <v>185899</v>
          </cell>
          <cell r="F293">
            <v>10</v>
          </cell>
          <cell r="G293">
            <v>15</v>
          </cell>
          <cell r="H293">
            <v>150</v>
          </cell>
          <cell r="I293" t="str">
            <v>RAISIN</v>
          </cell>
          <cell r="J293" t="str">
            <v>Raisin - Indian</v>
          </cell>
          <cell r="K293" t="str">
            <v>Indian</v>
          </cell>
          <cell r="L293" t="str">
            <v>Green</v>
          </cell>
          <cell r="M293" t="str">
            <v>Indian Green Raisins</v>
          </cell>
          <cell r="N293" t="str">
            <v>CFPL</v>
          </cell>
          <cell r="O293" t="str">
            <v>Savla</v>
          </cell>
          <cell r="P293" t="str">
            <v>Local</v>
          </cell>
          <cell r="Q293">
            <v>355</v>
          </cell>
          <cell r="R293">
            <v>53250</v>
          </cell>
          <cell r="S293">
            <v>62</v>
          </cell>
          <cell r="T293" t="str">
            <v>61-90 Days</v>
          </cell>
          <cell r="U293">
            <v>10</v>
          </cell>
          <cell r="V293" t="str">
            <v>90678000-1 to 90678000-10</v>
          </cell>
        </row>
        <row r="294">
          <cell r="E294" t="str">
            <v>185900</v>
          </cell>
          <cell r="F294">
            <v>15</v>
          </cell>
          <cell r="G294">
            <v>15</v>
          </cell>
          <cell r="H294">
            <v>225</v>
          </cell>
          <cell r="I294" t="str">
            <v>RAISIN</v>
          </cell>
          <cell r="J294" t="str">
            <v>Raisin - Indian</v>
          </cell>
          <cell r="K294" t="str">
            <v>Indian</v>
          </cell>
          <cell r="L294" t="str">
            <v>Green</v>
          </cell>
          <cell r="M294" t="str">
            <v>Indian Green Raisins</v>
          </cell>
          <cell r="N294" t="str">
            <v>CFPL</v>
          </cell>
          <cell r="O294" t="str">
            <v>Savla</v>
          </cell>
          <cell r="P294" t="str">
            <v>Local</v>
          </cell>
          <cell r="Q294">
            <v>362</v>
          </cell>
          <cell r="R294">
            <v>81450</v>
          </cell>
          <cell r="S294">
            <v>62</v>
          </cell>
          <cell r="T294" t="str">
            <v>61-90 Days</v>
          </cell>
          <cell r="U294">
            <v>15</v>
          </cell>
          <cell r="V294" t="str">
            <v>90679000-1 to 90679000-15</v>
          </cell>
        </row>
        <row r="295">
          <cell r="E295" t="str">
            <v>185902</v>
          </cell>
          <cell r="F295">
            <v>16</v>
          </cell>
          <cell r="G295">
            <v>15</v>
          </cell>
          <cell r="H295">
            <v>240</v>
          </cell>
          <cell r="I295" t="str">
            <v>RAISIN</v>
          </cell>
          <cell r="J295" t="str">
            <v>Raisin - Indian</v>
          </cell>
          <cell r="K295" t="str">
            <v>Indian</v>
          </cell>
          <cell r="L295" t="str">
            <v>Green</v>
          </cell>
          <cell r="M295" t="str">
            <v>Indian Green Raisins</v>
          </cell>
          <cell r="N295" t="str">
            <v>CFPL</v>
          </cell>
          <cell r="O295" t="str">
            <v>Savla</v>
          </cell>
          <cell r="P295" t="str">
            <v>Local</v>
          </cell>
          <cell r="Q295">
            <v>356</v>
          </cell>
          <cell r="R295">
            <v>85440</v>
          </cell>
          <cell r="S295">
            <v>62</v>
          </cell>
          <cell r="T295" t="str">
            <v>61-90 Days</v>
          </cell>
          <cell r="U295">
            <v>16</v>
          </cell>
          <cell r="V295" t="str">
            <v>90681000-1 to 90681000-16</v>
          </cell>
        </row>
        <row r="296">
          <cell r="E296" t="str">
            <v>185903</v>
          </cell>
          <cell r="F296">
            <v>13</v>
          </cell>
          <cell r="G296">
            <v>15</v>
          </cell>
          <cell r="H296">
            <v>195</v>
          </cell>
          <cell r="I296" t="str">
            <v>RAISIN</v>
          </cell>
          <cell r="J296" t="str">
            <v>Raisin - Indian</v>
          </cell>
          <cell r="K296" t="str">
            <v>Indian</v>
          </cell>
          <cell r="L296" t="str">
            <v>Green</v>
          </cell>
          <cell r="M296" t="str">
            <v>Indian Green Raisins</v>
          </cell>
          <cell r="N296" t="str">
            <v>CFPL</v>
          </cell>
          <cell r="O296" t="str">
            <v>Savla</v>
          </cell>
          <cell r="P296" t="str">
            <v>Local</v>
          </cell>
          <cell r="Q296">
            <v>347</v>
          </cell>
          <cell r="R296">
            <v>67665</v>
          </cell>
          <cell r="S296">
            <v>62</v>
          </cell>
          <cell r="T296" t="str">
            <v>61-90 Days</v>
          </cell>
          <cell r="U296">
            <v>13</v>
          </cell>
          <cell r="V296" t="str">
            <v>90682000-19 to 90682000-31</v>
          </cell>
        </row>
        <row r="297">
          <cell r="E297" t="str">
            <v>185904</v>
          </cell>
          <cell r="F297">
            <v>27</v>
          </cell>
          <cell r="G297">
            <v>15</v>
          </cell>
          <cell r="H297">
            <v>405</v>
          </cell>
          <cell r="I297" t="str">
            <v>RAISIN</v>
          </cell>
          <cell r="J297" t="str">
            <v>Raisin - Indian</v>
          </cell>
          <cell r="K297" t="str">
            <v>Indian</v>
          </cell>
          <cell r="L297" t="str">
            <v>Green</v>
          </cell>
          <cell r="M297" t="str">
            <v>Indian Green Raisins</v>
          </cell>
          <cell r="N297" t="str">
            <v>CFPL</v>
          </cell>
          <cell r="O297" t="str">
            <v>Savla</v>
          </cell>
          <cell r="P297" t="str">
            <v>Local</v>
          </cell>
          <cell r="Q297">
            <v>351</v>
          </cell>
          <cell r="R297">
            <v>142155</v>
          </cell>
          <cell r="S297">
            <v>62</v>
          </cell>
          <cell r="T297" t="str">
            <v>61-90 Days</v>
          </cell>
          <cell r="U297">
            <v>27</v>
          </cell>
          <cell r="V297" t="str">
            <v>90683000-1 to 90683000-27</v>
          </cell>
        </row>
        <row r="298">
          <cell r="E298" t="str">
            <v>185905</v>
          </cell>
          <cell r="F298">
            <v>18</v>
          </cell>
          <cell r="G298">
            <v>15</v>
          </cell>
          <cell r="H298">
            <v>270</v>
          </cell>
          <cell r="I298" t="str">
            <v>RAISIN</v>
          </cell>
          <cell r="J298" t="str">
            <v>Raisin - Indian</v>
          </cell>
          <cell r="K298" t="str">
            <v>Indian</v>
          </cell>
          <cell r="L298" t="str">
            <v>Green</v>
          </cell>
          <cell r="M298" t="str">
            <v>Indian Green Raisins</v>
          </cell>
          <cell r="N298" t="str">
            <v>CFPL</v>
          </cell>
          <cell r="O298" t="str">
            <v>Savla</v>
          </cell>
          <cell r="P298" t="str">
            <v>Local</v>
          </cell>
          <cell r="Q298">
            <v>349</v>
          </cell>
          <cell r="R298">
            <v>94230</v>
          </cell>
          <cell r="S298">
            <v>62</v>
          </cell>
          <cell r="T298" t="str">
            <v>61-90 Days</v>
          </cell>
          <cell r="U298">
            <v>18</v>
          </cell>
          <cell r="V298" t="str">
            <v>90684000-13 to 90684000-30</v>
          </cell>
        </row>
        <row r="299">
          <cell r="E299" t="str">
            <v>186055</v>
          </cell>
          <cell r="F299">
            <v>545</v>
          </cell>
          <cell r="G299">
            <v>11.34</v>
          </cell>
          <cell r="H299">
            <v>6180.3</v>
          </cell>
          <cell r="I299" t="str">
            <v>CRANBERRY</v>
          </cell>
          <cell r="J299" t="str">
            <v>Cranberry - Sliced</v>
          </cell>
          <cell r="K299" t="str">
            <v>Sliced</v>
          </cell>
          <cell r="L299" t="str">
            <v>Oceanspray-11.9</v>
          </cell>
          <cell r="M299" t="str">
            <v>Dried Cranberry Sliced</v>
          </cell>
          <cell r="N299" t="str">
            <v>CFPL</v>
          </cell>
          <cell r="O299" t="str">
            <v>Savla</v>
          </cell>
          <cell r="P299" t="str">
            <v>Tajir</v>
          </cell>
          <cell r="Q299">
            <v>390</v>
          </cell>
          <cell r="R299">
            <v>2410317</v>
          </cell>
          <cell r="S299">
            <v>60</v>
          </cell>
          <cell r="T299" t="str">
            <v>31-60 Days</v>
          </cell>
          <cell r="U299">
            <v>545</v>
          </cell>
          <cell r="V299" t="str">
            <v>96801000-1 to 96801000-545</v>
          </cell>
        </row>
        <row r="300">
          <cell r="E300" t="str">
            <v>186094</v>
          </cell>
          <cell r="F300">
            <v>155</v>
          </cell>
          <cell r="G300">
            <v>11.44</v>
          </cell>
          <cell r="H300">
            <v>1773.2</v>
          </cell>
          <cell r="I300" t="str">
            <v>CRANBERRY</v>
          </cell>
          <cell r="J300" t="str">
            <v>Cranberry - Sliced</v>
          </cell>
          <cell r="K300" t="str">
            <v>Sliced</v>
          </cell>
          <cell r="L300" t="str">
            <v>Oceanspray-12</v>
          </cell>
          <cell r="M300" t="str">
            <v>Dried Cranberry Sliced</v>
          </cell>
          <cell r="N300" t="str">
            <v>CFPL</v>
          </cell>
          <cell r="O300" t="str">
            <v>Savla</v>
          </cell>
          <cell r="P300" t="str">
            <v>Tajir</v>
          </cell>
          <cell r="Q300">
            <v>390</v>
          </cell>
          <cell r="R300">
            <v>691548</v>
          </cell>
          <cell r="S300">
            <v>60</v>
          </cell>
          <cell r="T300" t="str">
            <v>31-60 Days</v>
          </cell>
          <cell r="U300">
            <v>155</v>
          </cell>
          <cell r="V300" t="str">
            <v>96802000-1 to 96802000-155</v>
          </cell>
        </row>
        <row r="301">
          <cell r="E301" t="str">
            <v>186525</v>
          </cell>
          <cell r="F301">
            <v>41</v>
          </cell>
          <cell r="G301">
            <v>5</v>
          </cell>
          <cell r="H301">
            <v>205</v>
          </cell>
          <cell r="I301" t="str">
            <v>DATES</v>
          </cell>
          <cell r="J301" t="str">
            <v>Medjoul-Medium</v>
          </cell>
          <cell r="K301" t="str">
            <v>Medjoul-Medium</v>
          </cell>
          <cell r="L301" t="str">
            <v>Medium</v>
          </cell>
          <cell r="M301" t="str">
            <v>Medjoul Dates Medium</v>
          </cell>
          <cell r="N301" t="str">
            <v>CFPL</v>
          </cell>
          <cell r="O301" t="str">
            <v>Savla</v>
          </cell>
          <cell r="P301" t="str">
            <v>Hadiklaim</v>
          </cell>
          <cell r="Q301">
            <v>753.28</v>
          </cell>
          <cell r="R301">
            <v>154422.39999999999</v>
          </cell>
          <cell r="S301">
            <v>55</v>
          </cell>
          <cell r="T301" t="str">
            <v>31-60 Days</v>
          </cell>
          <cell r="U301">
            <v>41</v>
          </cell>
          <cell r="V301" t="str">
            <v>28804000-166 to 28804000-206</v>
          </cell>
        </row>
        <row r="302">
          <cell r="E302" t="str">
            <v>186527</v>
          </cell>
          <cell r="F302">
            <v>175</v>
          </cell>
          <cell r="G302">
            <v>5</v>
          </cell>
          <cell r="H302">
            <v>875</v>
          </cell>
          <cell r="I302" t="str">
            <v>DATES</v>
          </cell>
          <cell r="J302" t="str">
            <v>Medjoul-Jumbo</v>
          </cell>
          <cell r="K302" t="str">
            <v>Medjoul-Jumbo</v>
          </cell>
          <cell r="L302" t="str">
            <v>Jumbo</v>
          </cell>
          <cell r="M302" t="str">
            <v>MEDJOUL DATES JUMBO</v>
          </cell>
          <cell r="N302" t="str">
            <v>CFPL</v>
          </cell>
          <cell r="O302" t="str">
            <v>Savla</v>
          </cell>
          <cell r="P302" t="str">
            <v>Hadiklaim</v>
          </cell>
          <cell r="Q302">
            <v>1057</v>
          </cell>
          <cell r="R302">
            <v>924875</v>
          </cell>
          <cell r="S302">
            <v>55</v>
          </cell>
          <cell r="T302" t="str">
            <v>31-60 Days</v>
          </cell>
          <cell r="U302">
            <v>175</v>
          </cell>
          <cell r="V302" t="str">
            <v>28806000-1 to 28806000-175</v>
          </cell>
        </row>
        <row r="303">
          <cell r="E303" t="str">
            <v>186530</v>
          </cell>
          <cell r="F303">
            <v>183</v>
          </cell>
          <cell r="G303">
            <v>5</v>
          </cell>
          <cell r="H303">
            <v>915</v>
          </cell>
          <cell r="I303" t="str">
            <v>DATES</v>
          </cell>
          <cell r="J303" t="str">
            <v>Deri</v>
          </cell>
          <cell r="K303" t="str">
            <v>Deri</v>
          </cell>
          <cell r="L303" t="str">
            <v>Deri</v>
          </cell>
          <cell r="M303" t="str">
            <v>Deri Dates</v>
          </cell>
          <cell r="N303" t="str">
            <v>CFPL</v>
          </cell>
          <cell r="O303" t="str">
            <v>Savla</v>
          </cell>
          <cell r="P303" t="str">
            <v>Hadiklaim</v>
          </cell>
          <cell r="Q303">
            <v>303</v>
          </cell>
          <cell r="R303">
            <v>277245</v>
          </cell>
          <cell r="S303">
            <v>55</v>
          </cell>
          <cell r="T303" t="str">
            <v>31-60 Days</v>
          </cell>
          <cell r="U303">
            <v>183</v>
          </cell>
          <cell r="V303" t="str">
            <v>28807000-1 to 28807000-183</v>
          </cell>
        </row>
        <row r="304">
          <cell r="E304" t="str">
            <v>186531</v>
          </cell>
          <cell r="F304">
            <v>17</v>
          </cell>
          <cell r="G304">
            <v>5</v>
          </cell>
          <cell r="H304">
            <v>85</v>
          </cell>
          <cell r="I304" t="str">
            <v>DATES</v>
          </cell>
          <cell r="J304" t="str">
            <v>Deri</v>
          </cell>
          <cell r="K304" t="str">
            <v>Deri</v>
          </cell>
          <cell r="L304" t="str">
            <v>Deri</v>
          </cell>
          <cell r="M304" t="str">
            <v>Deri Dates</v>
          </cell>
          <cell r="N304" t="str">
            <v>CFPL</v>
          </cell>
          <cell r="O304" t="str">
            <v>Savla</v>
          </cell>
          <cell r="P304" t="str">
            <v>Hadiklaim</v>
          </cell>
          <cell r="Q304">
            <v>303</v>
          </cell>
          <cell r="R304">
            <v>25755</v>
          </cell>
          <cell r="S304">
            <v>55</v>
          </cell>
          <cell r="T304" t="str">
            <v>31-60 Days</v>
          </cell>
          <cell r="U304">
            <v>17</v>
          </cell>
          <cell r="V304" t="str">
            <v>28808000-1 to 28808000-17</v>
          </cell>
        </row>
        <row r="305">
          <cell r="E305" t="str">
            <v>186568</v>
          </cell>
          <cell r="F305">
            <v>20</v>
          </cell>
          <cell r="G305">
            <v>5</v>
          </cell>
          <cell r="H305">
            <v>100</v>
          </cell>
          <cell r="I305" t="str">
            <v>DATES</v>
          </cell>
          <cell r="J305" t="str">
            <v>Medjoul-Large</v>
          </cell>
          <cell r="K305" t="str">
            <v>Medjoul-Large</v>
          </cell>
          <cell r="L305" t="str">
            <v>Large</v>
          </cell>
          <cell r="M305" t="str">
            <v>Medjoul Dates Large</v>
          </cell>
          <cell r="N305" t="str">
            <v>CFPL</v>
          </cell>
          <cell r="O305" t="str">
            <v>Savla</v>
          </cell>
          <cell r="P305" t="str">
            <v>Hadiklaim</v>
          </cell>
          <cell r="Q305">
            <v>871.2</v>
          </cell>
          <cell r="R305">
            <v>87120</v>
          </cell>
          <cell r="S305">
            <v>55</v>
          </cell>
          <cell r="T305" t="str">
            <v>31-60 Days</v>
          </cell>
          <cell r="U305">
            <v>20</v>
          </cell>
          <cell r="V305" t="str">
            <v>28809000-103 to 28809000-122</v>
          </cell>
        </row>
        <row r="306">
          <cell r="E306" t="str">
            <v>186581</v>
          </cell>
          <cell r="F306">
            <v>10</v>
          </cell>
          <cell r="G306">
            <v>5</v>
          </cell>
          <cell r="H306">
            <v>50</v>
          </cell>
          <cell r="I306" t="str">
            <v>DATES</v>
          </cell>
          <cell r="J306" t="str">
            <v>Medjoul-Large</v>
          </cell>
          <cell r="K306" t="str">
            <v>Medjoul-Large</v>
          </cell>
          <cell r="L306" t="str">
            <v>Large</v>
          </cell>
          <cell r="M306" t="str">
            <v>Medjoul Dates Large</v>
          </cell>
          <cell r="N306" t="str">
            <v>CFPL</v>
          </cell>
          <cell r="O306" t="str">
            <v>Savla</v>
          </cell>
          <cell r="P306" t="str">
            <v>Hadiklaim</v>
          </cell>
          <cell r="Q306">
            <v>871.2</v>
          </cell>
          <cell r="R306">
            <v>43560</v>
          </cell>
          <cell r="S306">
            <v>55</v>
          </cell>
          <cell r="T306" t="str">
            <v>31-60 Days</v>
          </cell>
          <cell r="U306">
            <v>10</v>
          </cell>
          <cell r="V306" t="str">
            <v>28819000-1 to 28819000-10</v>
          </cell>
        </row>
        <row r="307">
          <cell r="E307" t="str">
            <v>186582</v>
          </cell>
          <cell r="F307">
            <v>195</v>
          </cell>
          <cell r="G307">
            <v>5</v>
          </cell>
          <cell r="H307">
            <v>975</v>
          </cell>
          <cell r="I307" t="str">
            <v>DATES</v>
          </cell>
          <cell r="J307" t="str">
            <v>Medjoul-Large</v>
          </cell>
          <cell r="K307" t="str">
            <v>Medjoul-Large</v>
          </cell>
          <cell r="L307" t="str">
            <v>Large</v>
          </cell>
          <cell r="M307" t="str">
            <v>Medjoul Dates Large</v>
          </cell>
          <cell r="N307" t="str">
            <v>CFPL</v>
          </cell>
          <cell r="O307" t="str">
            <v>Savla</v>
          </cell>
          <cell r="P307" t="str">
            <v>Hadiklaim</v>
          </cell>
          <cell r="Q307">
            <v>871.2</v>
          </cell>
          <cell r="R307">
            <v>849420</v>
          </cell>
          <cell r="S307">
            <v>55</v>
          </cell>
          <cell r="T307" t="str">
            <v>31-60 Days</v>
          </cell>
          <cell r="U307">
            <v>195</v>
          </cell>
          <cell r="V307" t="str">
            <v>28820000-14 to 28820000-208</v>
          </cell>
        </row>
        <row r="308">
          <cell r="E308" t="str">
            <v>186583</v>
          </cell>
          <cell r="F308">
            <v>2</v>
          </cell>
          <cell r="G308">
            <v>5</v>
          </cell>
          <cell r="H308">
            <v>10</v>
          </cell>
          <cell r="I308" t="str">
            <v>DATES</v>
          </cell>
          <cell r="J308" t="str">
            <v>Medjoul-Large</v>
          </cell>
          <cell r="K308" t="str">
            <v>Medjoul-Large</v>
          </cell>
          <cell r="L308" t="str">
            <v>Large</v>
          </cell>
          <cell r="M308" t="str">
            <v>Medjoul Dates Large</v>
          </cell>
          <cell r="N308" t="str">
            <v>CFPL</v>
          </cell>
          <cell r="O308" t="str">
            <v>Savla</v>
          </cell>
          <cell r="P308" t="str">
            <v>Hadiklaim</v>
          </cell>
          <cell r="Q308">
            <v>871.2</v>
          </cell>
          <cell r="R308">
            <v>8712</v>
          </cell>
          <cell r="S308">
            <v>55</v>
          </cell>
          <cell r="T308" t="str">
            <v>31-60 Days</v>
          </cell>
          <cell r="U308">
            <v>2</v>
          </cell>
          <cell r="V308" t="str">
            <v>28821000-1 to 28821000-2</v>
          </cell>
        </row>
        <row r="309">
          <cell r="E309" t="str">
            <v>186584</v>
          </cell>
          <cell r="F309">
            <v>203</v>
          </cell>
          <cell r="G309">
            <v>5</v>
          </cell>
          <cell r="H309">
            <v>1015</v>
          </cell>
          <cell r="I309" t="str">
            <v>DATES</v>
          </cell>
          <cell r="J309" t="str">
            <v>Medjoul-Large</v>
          </cell>
          <cell r="K309" t="str">
            <v>Medjoul-Large</v>
          </cell>
          <cell r="L309" t="str">
            <v>Large</v>
          </cell>
          <cell r="M309" t="str">
            <v>Medjoul Dates Large</v>
          </cell>
          <cell r="N309" t="str">
            <v>CFPL</v>
          </cell>
          <cell r="O309" t="str">
            <v>Savla</v>
          </cell>
          <cell r="P309" t="str">
            <v>Hadiklaim</v>
          </cell>
          <cell r="Q309">
            <v>871.2</v>
          </cell>
          <cell r="R309">
            <v>884268</v>
          </cell>
          <cell r="S309">
            <v>55</v>
          </cell>
          <cell r="T309" t="str">
            <v>31-60 Days</v>
          </cell>
          <cell r="U309">
            <v>203</v>
          </cell>
          <cell r="V309" t="str">
            <v>28822000-1 to 28822000-203</v>
          </cell>
        </row>
        <row r="310">
          <cell r="E310" t="str">
            <v>186585</v>
          </cell>
          <cell r="F310">
            <v>7</v>
          </cell>
          <cell r="G310">
            <v>5</v>
          </cell>
          <cell r="H310">
            <v>35</v>
          </cell>
          <cell r="I310" t="str">
            <v>DATES</v>
          </cell>
          <cell r="J310" t="str">
            <v>Medjoul-Large</v>
          </cell>
          <cell r="K310" t="str">
            <v>Medjoul-Large</v>
          </cell>
          <cell r="L310" t="str">
            <v>Large</v>
          </cell>
          <cell r="M310" t="str">
            <v>Medjoul Dates Large</v>
          </cell>
          <cell r="N310" t="str">
            <v>CFPL</v>
          </cell>
          <cell r="O310" t="str">
            <v>Savla</v>
          </cell>
          <cell r="P310" t="str">
            <v>Hadiklaim</v>
          </cell>
          <cell r="Q310">
            <v>871.2</v>
          </cell>
          <cell r="R310">
            <v>30492</v>
          </cell>
          <cell r="S310">
            <v>55</v>
          </cell>
          <cell r="T310" t="str">
            <v>31-60 Days</v>
          </cell>
          <cell r="U310">
            <v>7</v>
          </cell>
          <cell r="V310" t="str">
            <v>28823000-1 to 28823000-7</v>
          </cell>
        </row>
        <row r="311">
          <cell r="E311" t="str">
            <v>186586</v>
          </cell>
          <cell r="F311">
            <v>120</v>
          </cell>
          <cell r="G311">
            <v>5</v>
          </cell>
          <cell r="H311">
            <v>600</v>
          </cell>
          <cell r="I311" t="str">
            <v>DATES</v>
          </cell>
          <cell r="J311" t="str">
            <v>Medjoul-Large</v>
          </cell>
          <cell r="K311" t="str">
            <v>Medjoul-Large</v>
          </cell>
          <cell r="L311" t="str">
            <v>Large</v>
          </cell>
          <cell r="M311" t="str">
            <v>Medjoul Dates Large</v>
          </cell>
          <cell r="N311" t="str">
            <v>CFPL</v>
          </cell>
          <cell r="O311" t="str">
            <v>Savla</v>
          </cell>
          <cell r="P311" t="str">
            <v>Hadiklaim</v>
          </cell>
          <cell r="Q311">
            <v>871.2</v>
          </cell>
          <cell r="R311">
            <v>522720</v>
          </cell>
          <cell r="S311">
            <v>55</v>
          </cell>
          <cell r="T311" t="str">
            <v>31-60 Days</v>
          </cell>
          <cell r="U311">
            <v>120</v>
          </cell>
          <cell r="V311" t="str">
            <v>28824000-1 to 28824000-120</v>
          </cell>
        </row>
        <row r="312">
          <cell r="E312" t="str">
            <v>186587</v>
          </cell>
          <cell r="F312">
            <v>210</v>
          </cell>
          <cell r="G312">
            <v>5</v>
          </cell>
          <cell r="H312">
            <v>1050</v>
          </cell>
          <cell r="I312" t="str">
            <v>DATES</v>
          </cell>
          <cell r="J312" t="str">
            <v>Medjoul-Large</v>
          </cell>
          <cell r="K312" t="str">
            <v>Medjoul-Large</v>
          </cell>
          <cell r="L312" t="str">
            <v>Large</v>
          </cell>
          <cell r="M312" t="str">
            <v>Medjoul Dates Large</v>
          </cell>
          <cell r="N312" t="str">
            <v>CFPL</v>
          </cell>
          <cell r="O312" t="str">
            <v>Savla</v>
          </cell>
          <cell r="P312" t="str">
            <v>Hadiklaim</v>
          </cell>
          <cell r="Q312">
            <v>871.2</v>
          </cell>
          <cell r="R312">
            <v>914760</v>
          </cell>
          <cell r="S312">
            <v>55</v>
          </cell>
          <cell r="T312" t="str">
            <v>31-60 Days</v>
          </cell>
          <cell r="U312">
            <v>210</v>
          </cell>
          <cell r="V312" t="str">
            <v>28825000-1 to 28825000-210</v>
          </cell>
        </row>
        <row r="313">
          <cell r="E313" t="str">
            <v>186588</v>
          </cell>
          <cell r="F313">
            <v>60</v>
          </cell>
          <cell r="G313">
            <v>5</v>
          </cell>
          <cell r="H313">
            <v>300</v>
          </cell>
          <cell r="I313" t="str">
            <v>DATES</v>
          </cell>
          <cell r="J313" t="str">
            <v>Deri</v>
          </cell>
          <cell r="K313" t="str">
            <v>Deri</v>
          </cell>
          <cell r="L313" t="str">
            <v>Deri</v>
          </cell>
          <cell r="M313" t="str">
            <v>Deri Dates</v>
          </cell>
          <cell r="N313" t="str">
            <v>CFPL</v>
          </cell>
          <cell r="O313" t="str">
            <v>Savla</v>
          </cell>
          <cell r="P313" t="str">
            <v>Hadiklaim</v>
          </cell>
          <cell r="Q313">
            <v>303</v>
          </cell>
          <cell r="R313">
            <v>90900</v>
          </cell>
          <cell r="S313">
            <v>55</v>
          </cell>
          <cell r="T313" t="str">
            <v>31-60 Days</v>
          </cell>
          <cell r="U313">
            <v>60</v>
          </cell>
          <cell r="V313" t="str">
            <v>28826000-1 to 28826000-60</v>
          </cell>
        </row>
        <row r="314">
          <cell r="E314" t="str">
            <v>186767</v>
          </cell>
          <cell r="F314">
            <v>3555</v>
          </cell>
          <cell r="G314">
            <v>5</v>
          </cell>
          <cell r="H314">
            <v>17775</v>
          </cell>
          <cell r="I314" t="str">
            <v>DATES</v>
          </cell>
          <cell r="J314" t="str">
            <v>Deri</v>
          </cell>
          <cell r="K314" t="str">
            <v>Deri</v>
          </cell>
          <cell r="L314" t="str">
            <v>Deri</v>
          </cell>
          <cell r="M314" t="str">
            <v>Deri Dates</v>
          </cell>
          <cell r="N314" t="str">
            <v>CFPL</v>
          </cell>
          <cell r="O314" t="str">
            <v>Savla</v>
          </cell>
          <cell r="P314" t="str">
            <v>Hadiklaim</v>
          </cell>
          <cell r="Q314">
            <v>303</v>
          </cell>
          <cell r="R314">
            <v>5385825</v>
          </cell>
          <cell r="S314">
            <v>53</v>
          </cell>
          <cell r="T314" t="str">
            <v>31-60 Days</v>
          </cell>
          <cell r="U314">
            <v>3555</v>
          </cell>
          <cell r="V314" t="str">
            <v>01607000-1 to 01607000-1755, 01608000-1 to 01608000-1800</v>
          </cell>
        </row>
        <row r="315">
          <cell r="E315" t="str">
            <v>186794</v>
          </cell>
          <cell r="F315">
            <v>423</v>
          </cell>
          <cell r="G315">
            <v>5</v>
          </cell>
          <cell r="H315">
            <v>2115</v>
          </cell>
          <cell r="I315" t="str">
            <v>DATES</v>
          </cell>
          <cell r="J315" t="str">
            <v>Deri</v>
          </cell>
          <cell r="K315" t="str">
            <v>Deri</v>
          </cell>
          <cell r="L315" t="str">
            <v>Deri</v>
          </cell>
          <cell r="M315" t="str">
            <v>Deri Dates</v>
          </cell>
          <cell r="N315" t="str">
            <v>CFPL</v>
          </cell>
          <cell r="O315" t="str">
            <v>Savla</v>
          </cell>
          <cell r="P315" t="str">
            <v>Hadiklaim</v>
          </cell>
          <cell r="Q315">
            <v>303</v>
          </cell>
          <cell r="R315">
            <v>640845</v>
          </cell>
          <cell r="S315">
            <v>53</v>
          </cell>
          <cell r="T315" t="str">
            <v>31-60 Days</v>
          </cell>
          <cell r="U315">
            <v>423</v>
          </cell>
          <cell r="V315" t="str">
            <v>01609000-1 to 01609000-423</v>
          </cell>
        </row>
        <row r="316">
          <cell r="E316" t="str">
            <v>186795</v>
          </cell>
          <cell r="F316">
            <v>21</v>
          </cell>
          <cell r="G316">
            <v>5</v>
          </cell>
          <cell r="H316">
            <v>105</v>
          </cell>
          <cell r="I316" t="str">
            <v>DATES</v>
          </cell>
          <cell r="J316" t="str">
            <v>Deri</v>
          </cell>
          <cell r="K316" t="str">
            <v>Deri</v>
          </cell>
          <cell r="L316" t="str">
            <v>Deri</v>
          </cell>
          <cell r="M316" t="str">
            <v>Deri Dates</v>
          </cell>
          <cell r="N316" t="str">
            <v>CFPL</v>
          </cell>
          <cell r="O316" t="str">
            <v>Savla</v>
          </cell>
          <cell r="P316" t="str">
            <v>Hadiklaim</v>
          </cell>
          <cell r="Q316">
            <v>303</v>
          </cell>
          <cell r="R316">
            <v>31815</v>
          </cell>
          <cell r="S316">
            <v>53</v>
          </cell>
          <cell r="T316" t="str">
            <v>31-60 Days</v>
          </cell>
          <cell r="U316">
            <v>21</v>
          </cell>
          <cell r="V316" t="str">
            <v>01610000-1 to 01610000-21</v>
          </cell>
        </row>
        <row r="317">
          <cell r="E317" t="str">
            <v>2259</v>
          </cell>
          <cell r="F317">
            <v>4</v>
          </cell>
          <cell r="G317">
            <v>10</v>
          </cell>
          <cell r="H317">
            <v>40</v>
          </cell>
          <cell r="I317" t="str">
            <v>PREMIUM NUTS</v>
          </cell>
          <cell r="J317" t="str">
            <v>Macadamia Nuts</v>
          </cell>
          <cell r="K317" t="str">
            <v>R&amp;S Seasalt</v>
          </cell>
          <cell r="L317" t="str">
            <v>R&amp;S Seasalt</v>
          </cell>
          <cell r="M317" t="str">
            <v>MACADAMIA NIS - ROASTED SEA SALT</v>
          </cell>
          <cell r="N317" t="str">
            <v>CFPL</v>
          </cell>
          <cell r="O317" t="str">
            <v>Savla</v>
          </cell>
          <cell r="P317" t="str">
            <v>Crestnut</v>
          </cell>
          <cell r="Q317">
            <v>910</v>
          </cell>
          <cell r="R317">
            <v>36400</v>
          </cell>
          <cell r="S317">
            <v>43</v>
          </cell>
          <cell r="T317" t="str">
            <v>31-60 Days</v>
          </cell>
          <cell r="U317">
            <v>4</v>
          </cell>
          <cell r="V317" t="str">
            <v>65602000-1 to 65602000-4</v>
          </cell>
        </row>
        <row r="318">
          <cell r="E318" t="str">
            <v>2355</v>
          </cell>
          <cell r="F318">
            <v>20</v>
          </cell>
          <cell r="G318">
            <v>15</v>
          </cell>
          <cell r="H318">
            <v>300</v>
          </cell>
          <cell r="I318" t="str">
            <v>RAISIN</v>
          </cell>
          <cell r="J318" t="str">
            <v>Raisin - Indian</v>
          </cell>
          <cell r="K318" t="str">
            <v>Indian</v>
          </cell>
          <cell r="L318" t="str">
            <v>Raisin</v>
          </cell>
          <cell r="M318" t="str">
            <v>Indian Green Raisins</v>
          </cell>
          <cell r="N318" t="str">
            <v>CFPL</v>
          </cell>
          <cell r="O318" t="str">
            <v>Savla</v>
          </cell>
          <cell r="P318" t="str">
            <v>Bhavesh</v>
          </cell>
          <cell r="Q318">
            <v>382</v>
          </cell>
          <cell r="R318">
            <v>114600</v>
          </cell>
          <cell r="S318">
            <v>43</v>
          </cell>
          <cell r="T318" t="str">
            <v>31-60 Days</v>
          </cell>
          <cell r="U318">
            <v>20</v>
          </cell>
          <cell r="V318" t="str">
            <v>65603000-1 to 65603000-20</v>
          </cell>
        </row>
        <row r="319">
          <cell r="E319" t="str">
            <v>2356</v>
          </cell>
          <cell r="F319">
            <v>14</v>
          </cell>
          <cell r="G319">
            <v>15</v>
          </cell>
          <cell r="H319">
            <v>210</v>
          </cell>
          <cell r="I319" t="str">
            <v>RAISIN</v>
          </cell>
          <cell r="J319" t="str">
            <v>Raisin - Indian</v>
          </cell>
          <cell r="K319" t="str">
            <v>Indian</v>
          </cell>
          <cell r="L319" t="str">
            <v>Raisin</v>
          </cell>
          <cell r="M319" t="str">
            <v>Indian Green Raisins</v>
          </cell>
          <cell r="N319" t="str">
            <v>CFPL</v>
          </cell>
          <cell r="O319" t="str">
            <v>Savla</v>
          </cell>
          <cell r="P319" t="str">
            <v>Bhavesh</v>
          </cell>
          <cell r="Q319">
            <v>382</v>
          </cell>
          <cell r="R319">
            <v>80220</v>
          </cell>
          <cell r="S319">
            <v>43</v>
          </cell>
          <cell r="T319" t="str">
            <v>31-60 Days</v>
          </cell>
          <cell r="U319">
            <v>14</v>
          </cell>
          <cell r="V319" t="str">
            <v>65604000-1 to 65604000-14</v>
          </cell>
        </row>
        <row r="320">
          <cell r="E320" t="str">
            <v>2357</v>
          </cell>
          <cell r="F320">
            <v>21</v>
          </cell>
          <cell r="G320">
            <v>15</v>
          </cell>
          <cell r="H320">
            <v>315</v>
          </cell>
          <cell r="I320" t="str">
            <v>RAISIN</v>
          </cell>
          <cell r="J320" t="str">
            <v>Raisin - Indian</v>
          </cell>
          <cell r="K320" t="str">
            <v>Indian</v>
          </cell>
          <cell r="L320" t="str">
            <v>Raisin</v>
          </cell>
          <cell r="M320" t="str">
            <v>Indian Green Raisins</v>
          </cell>
          <cell r="N320" t="str">
            <v>CFPL</v>
          </cell>
          <cell r="O320" t="str">
            <v>Savla</v>
          </cell>
          <cell r="P320" t="str">
            <v>Bhavesh</v>
          </cell>
          <cell r="Q320">
            <v>382</v>
          </cell>
          <cell r="R320">
            <v>120330</v>
          </cell>
          <cell r="S320">
            <v>43</v>
          </cell>
          <cell r="T320" t="str">
            <v>31-60 Days</v>
          </cell>
          <cell r="U320">
            <v>21</v>
          </cell>
          <cell r="V320" t="str">
            <v>65605000-1 to 65605000-21</v>
          </cell>
        </row>
        <row r="321">
          <cell r="E321" t="str">
            <v>2358</v>
          </cell>
          <cell r="F321">
            <v>9</v>
          </cell>
          <cell r="G321">
            <v>15</v>
          </cell>
          <cell r="H321">
            <v>135</v>
          </cell>
          <cell r="I321" t="str">
            <v>RAISIN</v>
          </cell>
          <cell r="J321" t="str">
            <v>Raisin - Indian</v>
          </cell>
          <cell r="K321" t="str">
            <v>Indian</v>
          </cell>
          <cell r="L321" t="str">
            <v>Raisin</v>
          </cell>
          <cell r="M321" t="str">
            <v>Indian Green Raisins</v>
          </cell>
          <cell r="N321" t="str">
            <v>CFPL</v>
          </cell>
          <cell r="O321" t="str">
            <v>Savla</v>
          </cell>
          <cell r="P321" t="str">
            <v>Bhavesh</v>
          </cell>
          <cell r="Q321">
            <v>382</v>
          </cell>
          <cell r="R321">
            <v>51570</v>
          </cell>
          <cell r="S321">
            <v>43</v>
          </cell>
          <cell r="T321" t="str">
            <v>31-60 Days</v>
          </cell>
          <cell r="U321">
            <v>9</v>
          </cell>
          <cell r="V321" t="str">
            <v>65606000-1 to 65606000-9</v>
          </cell>
        </row>
        <row r="322">
          <cell r="E322" t="str">
            <v>2359</v>
          </cell>
          <cell r="F322">
            <v>44</v>
          </cell>
          <cell r="G322">
            <v>15</v>
          </cell>
          <cell r="H322">
            <v>660</v>
          </cell>
          <cell r="I322" t="str">
            <v>RAISIN</v>
          </cell>
          <cell r="J322" t="str">
            <v>Raisin - Indian</v>
          </cell>
          <cell r="K322" t="str">
            <v>Indian</v>
          </cell>
          <cell r="L322" t="str">
            <v>Raisin</v>
          </cell>
          <cell r="M322" t="str">
            <v>Indian Green Raisins</v>
          </cell>
          <cell r="N322" t="str">
            <v>CFPL</v>
          </cell>
          <cell r="O322" t="str">
            <v>Savla</v>
          </cell>
          <cell r="P322" t="str">
            <v>Bhavesh</v>
          </cell>
          <cell r="Q322">
            <v>382</v>
          </cell>
          <cell r="R322">
            <v>252120</v>
          </cell>
          <cell r="S322">
            <v>43</v>
          </cell>
          <cell r="T322" t="str">
            <v>31-60 Days</v>
          </cell>
          <cell r="U322">
            <v>44</v>
          </cell>
          <cell r="V322" t="str">
            <v>65607000-1 to 65607000-44</v>
          </cell>
        </row>
        <row r="323">
          <cell r="E323" t="str">
            <v>2360</v>
          </cell>
          <cell r="F323">
            <v>49</v>
          </cell>
          <cell r="G323">
            <v>15</v>
          </cell>
          <cell r="H323">
            <v>735</v>
          </cell>
          <cell r="I323" t="str">
            <v>RAISIN</v>
          </cell>
          <cell r="J323" t="str">
            <v>Raisin - Indian</v>
          </cell>
          <cell r="K323" t="str">
            <v>Indian</v>
          </cell>
          <cell r="L323" t="str">
            <v>Raisin</v>
          </cell>
          <cell r="M323" t="str">
            <v>Indian Green Raisins</v>
          </cell>
          <cell r="N323" t="str">
            <v>CFPL</v>
          </cell>
          <cell r="O323" t="str">
            <v>Savla</v>
          </cell>
          <cell r="P323" t="str">
            <v>Bhavesh</v>
          </cell>
          <cell r="Q323">
            <v>382</v>
          </cell>
          <cell r="R323">
            <v>280770</v>
          </cell>
          <cell r="S323">
            <v>43</v>
          </cell>
          <cell r="T323" t="str">
            <v>31-60 Days</v>
          </cell>
          <cell r="U323">
            <v>49</v>
          </cell>
          <cell r="V323" t="str">
            <v>65608000-1 to 65608000-49</v>
          </cell>
        </row>
        <row r="324">
          <cell r="E324" t="str">
            <v>2361</v>
          </cell>
          <cell r="F324">
            <v>11</v>
          </cell>
          <cell r="G324">
            <v>15</v>
          </cell>
          <cell r="H324">
            <v>165</v>
          </cell>
          <cell r="I324" t="str">
            <v>RAISIN</v>
          </cell>
          <cell r="J324" t="str">
            <v>Raisin - Indian</v>
          </cell>
          <cell r="K324" t="str">
            <v>Indian</v>
          </cell>
          <cell r="L324" t="str">
            <v>Raisin</v>
          </cell>
          <cell r="M324" t="str">
            <v>Indian Green Raisins</v>
          </cell>
          <cell r="N324" t="str">
            <v>CFPL</v>
          </cell>
          <cell r="O324" t="str">
            <v>Savla</v>
          </cell>
          <cell r="P324" t="str">
            <v>Bhavesh</v>
          </cell>
          <cell r="Q324">
            <v>382</v>
          </cell>
          <cell r="R324">
            <v>63030</v>
          </cell>
          <cell r="S324">
            <v>43</v>
          </cell>
          <cell r="T324" t="str">
            <v>31-60 Days</v>
          </cell>
          <cell r="U324">
            <v>11</v>
          </cell>
          <cell r="V324" t="str">
            <v>65609000-1 to 65609000-11</v>
          </cell>
        </row>
        <row r="325">
          <cell r="E325" t="str">
            <v>2362</v>
          </cell>
          <cell r="F325">
            <v>22</v>
          </cell>
          <cell r="G325">
            <v>15</v>
          </cell>
          <cell r="H325">
            <v>330</v>
          </cell>
          <cell r="I325" t="str">
            <v>RAISIN</v>
          </cell>
          <cell r="J325" t="str">
            <v>Raisin - Indian</v>
          </cell>
          <cell r="K325" t="str">
            <v>Indian</v>
          </cell>
          <cell r="L325" t="str">
            <v>Raisin</v>
          </cell>
          <cell r="M325" t="str">
            <v>Indian Green Raisins</v>
          </cell>
          <cell r="N325" t="str">
            <v>CFPL</v>
          </cell>
          <cell r="O325" t="str">
            <v>Savla</v>
          </cell>
          <cell r="P325" t="str">
            <v>Bhavesh</v>
          </cell>
          <cell r="Q325">
            <v>382</v>
          </cell>
          <cell r="R325">
            <v>126060</v>
          </cell>
          <cell r="S325">
            <v>43</v>
          </cell>
          <cell r="T325" t="str">
            <v>31-60 Days</v>
          </cell>
          <cell r="U325">
            <v>22</v>
          </cell>
          <cell r="V325" t="str">
            <v>65610000-1 to 65610000-22</v>
          </cell>
        </row>
        <row r="326">
          <cell r="E326" t="str">
            <v>2363</v>
          </cell>
          <cell r="F326">
            <v>11</v>
          </cell>
          <cell r="G326">
            <v>15</v>
          </cell>
          <cell r="H326">
            <v>165</v>
          </cell>
          <cell r="I326" t="str">
            <v>RAISIN</v>
          </cell>
          <cell r="J326" t="str">
            <v>Raisin - Indian</v>
          </cell>
          <cell r="K326" t="str">
            <v>Indian</v>
          </cell>
          <cell r="L326" t="str">
            <v>Raisin</v>
          </cell>
          <cell r="M326" t="str">
            <v>Indian Green Raisins</v>
          </cell>
          <cell r="N326" t="str">
            <v>CFPL</v>
          </cell>
          <cell r="O326" t="str">
            <v>Savla</v>
          </cell>
          <cell r="P326" t="str">
            <v>Bhavesh</v>
          </cell>
          <cell r="Q326">
            <v>382</v>
          </cell>
          <cell r="R326">
            <v>63030</v>
          </cell>
          <cell r="S326">
            <v>43</v>
          </cell>
          <cell r="T326" t="str">
            <v>31-60 Days</v>
          </cell>
          <cell r="U326">
            <v>11</v>
          </cell>
          <cell r="V326" t="str">
            <v>65611000-1 to 65611000-11</v>
          </cell>
        </row>
        <row r="327">
          <cell r="E327" t="str">
            <v>2364</v>
          </cell>
          <cell r="F327">
            <v>11</v>
          </cell>
          <cell r="G327">
            <v>15</v>
          </cell>
          <cell r="H327">
            <v>165</v>
          </cell>
          <cell r="I327" t="str">
            <v>RAISIN</v>
          </cell>
          <cell r="J327" t="str">
            <v>Raisin - Indian</v>
          </cell>
          <cell r="K327" t="str">
            <v>Indian</v>
          </cell>
          <cell r="L327" t="str">
            <v>Raisin</v>
          </cell>
          <cell r="M327" t="str">
            <v>Indian Green Raisins</v>
          </cell>
          <cell r="N327" t="str">
            <v>CFPL</v>
          </cell>
          <cell r="O327" t="str">
            <v>Savla</v>
          </cell>
          <cell r="P327" t="str">
            <v>Bhavesh</v>
          </cell>
          <cell r="Q327">
            <v>382</v>
          </cell>
          <cell r="R327">
            <v>63030</v>
          </cell>
          <cell r="S327">
            <v>43</v>
          </cell>
          <cell r="T327" t="str">
            <v>31-60 Days</v>
          </cell>
          <cell r="U327">
            <v>11</v>
          </cell>
          <cell r="V327" t="str">
            <v>65612000-1 to 65612000-11</v>
          </cell>
        </row>
        <row r="328">
          <cell r="E328" t="str">
            <v>2365</v>
          </cell>
          <cell r="F328">
            <v>48</v>
          </cell>
          <cell r="G328">
            <v>15</v>
          </cell>
          <cell r="H328">
            <v>720</v>
          </cell>
          <cell r="I328" t="str">
            <v>RAISIN</v>
          </cell>
          <cell r="J328" t="str">
            <v>Raisin - Indian</v>
          </cell>
          <cell r="K328" t="str">
            <v>Indian</v>
          </cell>
          <cell r="L328" t="str">
            <v>Raisin</v>
          </cell>
          <cell r="M328" t="str">
            <v>Indian Green Raisins</v>
          </cell>
          <cell r="N328" t="str">
            <v>CFPL</v>
          </cell>
          <cell r="O328" t="str">
            <v>Savla</v>
          </cell>
          <cell r="P328" t="str">
            <v>Bhavesh</v>
          </cell>
          <cell r="Q328">
            <v>382</v>
          </cell>
          <cell r="R328">
            <v>275040</v>
          </cell>
          <cell r="S328">
            <v>43</v>
          </cell>
          <cell r="T328" t="str">
            <v>31-60 Days</v>
          </cell>
          <cell r="U328">
            <v>48</v>
          </cell>
          <cell r="V328" t="str">
            <v>65613000-1 to 65613000-48</v>
          </cell>
        </row>
        <row r="329">
          <cell r="E329" t="str">
            <v>2366</v>
          </cell>
          <cell r="F329">
            <v>37</v>
          </cell>
          <cell r="G329">
            <v>15</v>
          </cell>
          <cell r="H329">
            <v>555</v>
          </cell>
          <cell r="I329" t="str">
            <v>RAISIN</v>
          </cell>
          <cell r="J329" t="str">
            <v>Raisin - Indian</v>
          </cell>
          <cell r="K329" t="str">
            <v>Indian</v>
          </cell>
          <cell r="L329" t="str">
            <v>Raisin</v>
          </cell>
          <cell r="M329" t="str">
            <v>Indian Green Raisins</v>
          </cell>
          <cell r="N329" t="str">
            <v>CFPL</v>
          </cell>
          <cell r="O329" t="str">
            <v>Savla</v>
          </cell>
          <cell r="P329" t="str">
            <v>Bhavesh</v>
          </cell>
          <cell r="Q329">
            <v>382</v>
          </cell>
          <cell r="R329">
            <v>212010</v>
          </cell>
          <cell r="S329">
            <v>43</v>
          </cell>
          <cell r="T329" t="str">
            <v>31-60 Days</v>
          </cell>
          <cell r="U329">
            <v>37</v>
          </cell>
          <cell r="V329" t="str">
            <v>65614000-1 to 65614000-37</v>
          </cell>
        </row>
        <row r="330">
          <cell r="E330" t="str">
            <v>2367</v>
          </cell>
          <cell r="F330">
            <v>50</v>
          </cell>
          <cell r="G330">
            <v>15</v>
          </cell>
          <cell r="H330">
            <v>750</v>
          </cell>
          <cell r="I330" t="str">
            <v>RAISIN</v>
          </cell>
          <cell r="J330" t="str">
            <v>Raisin - Indian</v>
          </cell>
          <cell r="K330" t="str">
            <v>Indian</v>
          </cell>
          <cell r="L330" t="str">
            <v>Raisin</v>
          </cell>
          <cell r="M330" t="str">
            <v>Indian Green Raisins</v>
          </cell>
          <cell r="N330" t="str">
            <v>CFPL</v>
          </cell>
          <cell r="O330" t="str">
            <v>Savla</v>
          </cell>
          <cell r="P330" t="str">
            <v>Bhavesh</v>
          </cell>
          <cell r="Q330">
            <v>382</v>
          </cell>
          <cell r="R330">
            <v>286500</v>
          </cell>
          <cell r="S330">
            <v>43</v>
          </cell>
          <cell r="T330" t="str">
            <v>31-60 Days</v>
          </cell>
          <cell r="U330">
            <v>50</v>
          </cell>
          <cell r="V330" t="str">
            <v>65615000-1 to 65615000-50</v>
          </cell>
        </row>
        <row r="331">
          <cell r="E331" t="str">
            <v>2368</v>
          </cell>
          <cell r="F331">
            <v>22</v>
          </cell>
          <cell r="G331">
            <v>15</v>
          </cell>
          <cell r="H331">
            <v>330</v>
          </cell>
          <cell r="I331" t="str">
            <v>RAISIN</v>
          </cell>
          <cell r="J331" t="str">
            <v>Raisin - Indian</v>
          </cell>
          <cell r="K331" t="str">
            <v>Indian</v>
          </cell>
          <cell r="L331" t="str">
            <v>Raisin</v>
          </cell>
          <cell r="M331" t="str">
            <v>Indian Green Raisins</v>
          </cell>
          <cell r="N331" t="str">
            <v>CFPL</v>
          </cell>
          <cell r="O331" t="str">
            <v>Savla</v>
          </cell>
          <cell r="P331" t="str">
            <v>Bhavesh</v>
          </cell>
          <cell r="Q331">
            <v>382</v>
          </cell>
          <cell r="R331">
            <v>126060</v>
          </cell>
          <cell r="S331">
            <v>43</v>
          </cell>
          <cell r="T331" t="str">
            <v>31-60 Days</v>
          </cell>
          <cell r="U331">
            <v>22</v>
          </cell>
          <cell r="V331" t="str">
            <v>65616000-1 to 65616000-22</v>
          </cell>
        </row>
        <row r="332">
          <cell r="E332" t="str">
            <v>2369</v>
          </cell>
          <cell r="F332">
            <v>12</v>
          </cell>
          <cell r="G332">
            <v>15</v>
          </cell>
          <cell r="H332">
            <v>180</v>
          </cell>
          <cell r="I332" t="str">
            <v>RAISIN</v>
          </cell>
          <cell r="J332" t="str">
            <v>Raisin - Indian</v>
          </cell>
          <cell r="K332" t="str">
            <v>Indian</v>
          </cell>
          <cell r="L332" t="str">
            <v>Raisin</v>
          </cell>
          <cell r="M332" t="str">
            <v>Indian Green Raisins</v>
          </cell>
          <cell r="N332" t="str">
            <v>CFPL</v>
          </cell>
          <cell r="O332" t="str">
            <v>Savla</v>
          </cell>
          <cell r="P332" t="str">
            <v>Bhavesh</v>
          </cell>
          <cell r="Q332">
            <v>382</v>
          </cell>
          <cell r="R332">
            <v>68760</v>
          </cell>
          <cell r="S332">
            <v>43</v>
          </cell>
          <cell r="T332" t="str">
            <v>31-60 Days</v>
          </cell>
          <cell r="U332">
            <v>12</v>
          </cell>
          <cell r="V332" t="str">
            <v>65617000-1 to 65617000-12</v>
          </cell>
        </row>
        <row r="333">
          <cell r="E333" t="str">
            <v>2370</v>
          </cell>
          <cell r="F333">
            <v>18</v>
          </cell>
          <cell r="G333">
            <v>15</v>
          </cell>
          <cell r="H333">
            <v>270</v>
          </cell>
          <cell r="I333" t="str">
            <v>RAISIN</v>
          </cell>
          <cell r="J333" t="str">
            <v>Raisin - Indian</v>
          </cell>
          <cell r="K333" t="str">
            <v>Indian</v>
          </cell>
          <cell r="L333" t="str">
            <v>Raisin</v>
          </cell>
          <cell r="M333" t="str">
            <v>Indian Green Raisins</v>
          </cell>
          <cell r="N333" t="str">
            <v>CFPL</v>
          </cell>
          <cell r="O333" t="str">
            <v>Savla</v>
          </cell>
          <cell r="P333" t="str">
            <v>Bhavesh</v>
          </cell>
          <cell r="Q333">
            <v>382</v>
          </cell>
          <cell r="R333">
            <v>103140</v>
          </cell>
          <cell r="S333">
            <v>43</v>
          </cell>
          <cell r="T333" t="str">
            <v>31-60 Days</v>
          </cell>
          <cell r="U333">
            <v>18</v>
          </cell>
          <cell r="V333" t="str">
            <v>65618000-1 to 65618000-18</v>
          </cell>
        </row>
        <row r="334">
          <cell r="E334" t="str">
            <v>2371</v>
          </cell>
          <cell r="F334">
            <v>15</v>
          </cell>
          <cell r="G334">
            <v>15</v>
          </cell>
          <cell r="H334">
            <v>225</v>
          </cell>
          <cell r="I334" t="str">
            <v>RAISIN</v>
          </cell>
          <cell r="J334" t="str">
            <v>Raisin - Indian</v>
          </cell>
          <cell r="K334" t="str">
            <v>Indian</v>
          </cell>
          <cell r="L334" t="str">
            <v>Raisin</v>
          </cell>
          <cell r="M334" t="str">
            <v>Indian Green Raisins</v>
          </cell>
          <cell r="N334" t="str">
            <v>CFPL</v>
          </cell>
          <cell r="O334" t="str">
            <v>Savla</v>
          </cell>
          <cell r="P334" t="str">
            <v>Bhavesh</v>
          </cell>
          <cell r="Q334">
            <v>382</v>
          </cell>
          <cell r="R334">
            <v>85950</v>
          </cell>
          <cell r="S334">
            <v>43</v>
          </cell>
          <cell r="T334" t="str">
            <v>31-60 Days</v>
          </cell>
          <cell r="U334">
            <v>15</v>
          </cell>
          <cell r="V334" t="str">
            <v>65619000-1 to 65619000-15</v>
          </cell>
        </row>
        <row r="335">
          <cell r="E335" t="str">
            <v>2372</v>
          </cell>
          <cell r="F335">
            <v>34</v>
          </cell>
          <cell r="G335">
            <v>15</v>
          </cell>
          <cell r="H335">
            <v>510</v>
          </cell>
          <cell r="I335" t="str">
            <v>RAISIN</v>
          </cell>
          <cell r="J335" t="str">
            <v>Raisin - Indian</v>
          </cell>
          <cell r="K335" t="str">
            <v>Indian</v>
          </cell>
          <cell r="L335" t="str">
            <v>Raisin</v>
          </cell>
          <cell r="M335" t="str">
            <v>Indian Green Raisins</v>
          </cell>
          <cell r="N335" t="str">
            <v>CFPL</v>
          </cell>
          <cell r="O335" t="str">
            <v>Savla</v>
          </cell>
          <cell r="P335" t="str">
            <v>Bhavesh</v>
          </cell>
          <cell r="Q335">
            <v>382</v>
          </cell>
          <cell r="R335">
            <v>194820</v>
          </cell>
          <cell r="S335">
            <v>43</v>
          </cell>
          <cell r="T335" t="str">
            <v>31-60 Days</v>
          </cell>
          <cell r="U335">
            <v>34</v>
          </cell>
          <cell r="V335" t="str">
            <v>65620000-1 to 65620000-34</v>
          </cell>
        </row>
        <row r="336">
          <cell r="E336" t="str">
            <v>2373</v>
          </cell>
          <cell r="F336">
            <v>14</v>
          </cell>
          <cell r="G336">
            <v>15</v>
          </cell>
          <cell r="H336">
            <v>210</v>
          </cell>
          <cell r="I336" t="str">
            <v>RAISIN</v>
          </cell>
          <cell r="J336" t="str">
            <v>Raisin - Indian</v>
          </cell>
          <cell r="K336" t="str">
            <v>Indian</v>
          </cell>
          <cell r="L336" t="str">
            <v>Raisin</v>
          </cell>
          <cell r="M336" t="str">
            <v>Indian Green Raisins</v>
          </cell>
          <cell r="N336" t="str">
            <v>CFPL</v>
          </cell>
          <cell r="O336" t="str">
            <v>Savla</v>
          </cell>
          <cell r="P336" t="str">
            <v>Bhavesh</v>
          </cell>
          <cell r="Q336">
            <v>382</v>
          </cell>
          <cell r="R336">
            <v>80220</v>
          </cell>
          <cell r="S336">
            <v>43</v>
          </cell>
          <cell r="T336" t="str">
            <v>31-60 Days</v>
          </cell>
          <cell r="U336">
            <v>14</v>
          </cell>
          <cell r="V336" t="str">
            <v>65621000-1 to 65621000-14</v>
          </cell>
        </row>
        <row r="337">
          <cell r="E337" t="str">
            <v>2374</v>
          </cell>
          <cell r="F337">
            <v>15</v>
          </cell>
          <cell r="G337">
            <v>15</v>
          </cell>
          <cell r="H337">
            <v>225</v>
          </cell>
          <cell r="I337" t="str">
            <v>RAISIN</v>
          </cell>
          <cell r="J337" t="str">
            <v>Raisin - Indian</v>
          </cell>
          <cell r="K337" t="str">
            <v>Indian</v>
          </cell>
          <cell r="L337" t="str">
            <v>Raisin</v>
          </cell>
          <cell r="M337" t="str">
            <v>Indian Green Raisins</v>
          </cell>
          <cell r="N337" t="str">
            <v>CFPL</v>
          </cell>
          <cell r="O337" t="str">
            <v>Savla</v>
          </cell>
          <cell r="P337" t="str">
            <v>Bhavesh</v>
          </cell>
          <cell r="Q337">
            <v>382</v>
          </cell>
          <cell r="R337">
            <v>85950</v>
          </cell>
          <cell r="S337">
            <v>43</v>
          </cell>
          <cell r="T337" t="str">
            <v>31-60 Days</v>
          </cell>
          <cell r="U337">
            <v>15</v>
          </cell>
          <cell r="V337" t="str">
            <v>65622000-1 to 65622000-15</v>
          </cell>
        </row>
        <row r="338">
          <cell r="E338" t="str">
            <v>2375</v>
          </cell>
          <cell r="F338">
            <v>40</v>
          </cell>
          <cell r="G338">
            <v>15</v>
          </cell>
          <cell r="H338">
            <v>600</v>
          </cell>
          <cell r="I338" t="str">
            <v>RAISIN</v>
          </cell>
          <cell r="J338" t="str">
            <v>Raisin - Indian</v>
          </cell>
          <cell r="K338" t="str">
            <v>Indian</v>
          </cell>
          <cell r="L338" t="str">
            <v>Raisin</v>
          </cell>
          <cell r="M338" t="str">
            <v>Indian Green Raisins</v>
          </cell>
          <cell r="N338" t="str">
            <v>CFPL</v>
          </cell>
          <cell r="O338" t="str">
            <v>Savla</v>
          </cell>
          <cell r="P338" t="str">
            <v>Bhavesh</v>
          </cell>
          <cell r="Q338">
            <v>382</v>
          </cell>
          <cell r="R338">
            <v>229200</v>
          </cell>
          <cell r="S338">
            <v>43</v>
          </cell>
          <cell r="T338" t="str">
            <v>31-60 Days</v>
          </cell>
          <cell r="U338">
            <v>40</v>
          </cell>
          <cell r="V338" t="str">
            <v>65623000-1 to 65623000-40</v>
          </cell>
        </row>
        <row r="339">
          <cell r="E339" t="str">
            <v>2376</v>
          </cell>
          <cell r="F339">
            <v>28</v>
          </cell>
          <cell r="G339">
            <v>15</v>
          </cell>
          <cell r="H339">
            <v>420</v>
          </cell>
          <cell r="I339" t="str">
            <v>RAISIN</v>
          </cell>
          <cell r="J339" t="str">
            <v>Raisin - Indian</v>
          </cell>
          <cell r="K339" t="str">
            <v>Indian</v>
          </cell>
          <cell r="L339" t="str">
            <v>Raisin</v>
          </cell>
          <cell r="M339" t="str">
            <v>Indian Green Raisins</v>
          </cell>
          <cell r="N339" t="str">
            <v>CFPL</v>
          </cell>
          <cell r="O339" t="str">
            <v>Savla</v>
          </cell>
          <cell r="P339" t="str">
            <v>Bhavesh</v>
          </cell>
          <cell r="Q339">
            <v>382</v>
          </cell>
          <cell r="R339">
            <v>160440</v>
          </cell>
          <cell r="S339">
            <v>43</v>
          </cell>
          <cell r="T339" t="str">
            <v>31-60 Days</v>
          </cell>
          <cell r="U339">
            <v>28</v>
          </cell>
          <cell r="V339" t="str">
            <v>65624000-1 to 65624000-28</v>
          </cell>
        </row>
        <row r="340">
          <cell r="E340" t="str">
            <v>2377</v>
          </cell>
          <cell r="F340">
            <v>32</v>
          </cell>
          <cell r="G340">
            <v>15</v>
          </cell>
          <cell r="H340">
            <v>480</v>
          </cell>
          <cell r="I340" t="str">
            <v>RAISIN</v>
          </cell>
          <cell r="J340" t="str">
            <v>Raisin - Indian</v>
          </cell>
          <cell r="K340" t="str">
            <v>Indian</v>
          </cell>
          <cell r="L340" t="str">
            <v>Raisin</v>
          </cell>
          <cell r="M340" t="str">
            <v>Indian Green Raisins</v>
          </cell>
          <cell r="N340" t="str">
            <v>CFPL</v>
          </cell>
          <cell r="O340" t="str">
            <v>Savla</v>
          </cell>
          <cell r="P340" t="str">
            <v>Bhavesh</v>
          </cell>
          <cell r="Q340">
            <v>382</v>
          </cell>
          <cell r="R340">
            <v>183360</v>
          </cell>
          <cell r="S340">
            <v>43</v>
          </cell>
          <cell r="T340" t="str">
            <v>31-60 Days</v>
          </cell>
          <cell r="U340">
            <v>32</v>
          </cell>
          <cell r="V340" t="str">
            <v>65625000-1 to 65625000-32</v>
          </cell>
        </row>
        <row r="341">
          <cell r="E341" t="str">
            <v>2378</v>
          </cell>
          <cell r="F341">
            <v>32</v>
          </cell>
          <cell r="G341">
            <v>15</v>
          </cell>
          <cell r="H341">
            <v>480</v>
          </cell>
          <cell r="I341" t="str">
            <v>RAISIN</v>
          </cell>
          <cell r="J341" t="str">
            <v>Raisin - Indian</v>
          </cell>
          <cell r="K341" t="str">
            <v>Indian</v>
          </cell>
          <cell r="L341" t="str">
            <v>Raisin</v>
          </cell>
          <cell r="M341" t="str">
            <v>Indian Green Raisins</v>
          </cell>
          <cell r="N341" t="str">
            <v>CFPL</v>
          </cell>
          <cell r="O341" t="str">
            <v>Savla</v>
          </cell>
          <cell r="P341" t="str">
            <v>Bhavesh</v>
          </cell>
          <cell r="Q341">
            <v>382</v>
          </cell>
          <cell r="R341">
            <v>183360</v>
          </cell>
          <cell r="S341">
            <v>43</v>
          </cell>
          <cell r="T341" t="str">
            <v>31-60 Days</v>
          </cell>
          <cell r="U341">
            <v>32</v>
          </cell>
          <cell r="V341" t="str">
            <v>65626000-1 to 65626000-32</v>
          </cell>
        </row>
        <row r="342">
          <cell r="E342" t="str">
            <v>2379</v>
          </cell>
          <cell r="F342">
            <v>47</v>
          </cell>
          <cell r="G342">
            <v>15</v>
          </cell>
          <cell r="H342">
            <v>705</v>
          </cell>
          <cell r="I342" t="str">
            <v>RAISIN</v>
          </cell>
          <cell r="J342" t="str">
            <v>Raisin - Indian</v>
          </cell>
          <cell r="K342" t="str">
            <v>Indian</v>
          </cell>
          <cell r="L342" t="str">
            <v>Raisin</v>
          </cell>
          <cell r="M342" t="str">
            <v>Indian Green Raisins</v>
          </cell>
          <cell r="N342" t="str">
            <v>CFPL</v>
          </cell>
          <cell r="O342" t="str">
            <v>Savla</v>
          </cell>
          <cell r="P342" t="str">
            <v>Bhavesh</v>
          </cell>
          <cell r="Q342">
            <v>382</v>
          </cell>
          <cell r="R342">
            <v>269310</v>
          </cell>
          <cell r="S342">
            <v>43</v>
          </cell>
          <cell r="T342" t="str">
            <v>31-60 Days</v>
          </cell>
          <cell r="U342">
            <v>47</v>
          </cell>
          <cell r="V342" t="str">
            <v>65627000-1 to 65627000-47</v>
          </cell>
        </row>
        <row r="343">
          <cell r="E343" t="str">
            <v>2380</v>
          </cell>
          <cell r="F343">
            <v>42</v>
          </cell>
          <cell r="G343">
            <v>15</v>
          </cell>
          <cell r="H343">
            <v>630</v>
          </cell>
          <cell r="I343" t="str">
            <v>RAISIN</v>
          </cell>
          <cell r="J343" t="str">
            <v>Raisin - Indian</v>
          </cell>
          <cell r="K343" t="str">
            <v>Indian</v>
          </cell>
          <cell r="L343" t="str">
            <v>Raisin</v>
          </cell>
          <cell r="M343" t="str">
            <v>Indian Green Raisins</v>
          </cell>
          <cell r="N343" t="str">
            <v>CFPL</v>
          </cell>
          <cell r="O343" t="str">
            <v>Savla</v>
          </cell>
          <cell r="P343" t="str">
            <v>Bhavesh</v>
          </cell>
          <cell r="Q343">
            <v>382</v>
          </cell>
          <cell r="R343">
            <v>240660</v>
          </cell>
          <cell r="S343">
            <v>43</v>
          </cell>
          <cell r="T343" t="str">
            <v>31-60 Days</v>
          </cell>
          <cell r="U343">
            <v>42</v>
          </cell>
          <cell r="V343" t="str">
            <v>65628000-1 to 65628000-42</v>
          </cell>
        </row>
        <row r="344">
          <cell r="E344" t="str">
            <v>2381</v>
          </cell>
          <cell r="F344">
            <v>59</v>
          </cell>
          <cell r="G344">
            <v>15</v>
          </cell>
          <cell r="H344">
            <v>885</v>
          </cell>
          <cell r="I344" t="str">
            <v>RAISIN</v>
          </cell>
          <cell r="J344" t="str">
            <v>Raisin - Indian</v>
          </cell>
          <cell r="K344" t="str">
            <v>Indian</v>
          </cell>
          <cell r="L344" t="str">
            <v>Raisin</v>
          </cell>
          <cell r="M344" t="str">
            <v>Indian Green Raisins</v>
          </cell>
          <cell r="N344" t="str">
            <v>CFPL</v>
          </cell>
          <cell r="O344" t="str">
            <v>Savla</v>
          </cell>
          <cell r="P344" t="str">
            <v>Bhavesh</v>
          </cell>
          <cell r="Q344">
            <v>382</v>
          </cell>
          <cell r="R344">
            <v>338070</v>
          </cell>
          <cell r="S344">
            <v>43</v>
          </cell>
          <cell r="T344" t="str">
            <v>31-60 Days</v>
          </cell>
          <cell r="U344">
            <v>59</v>
          </cell>
          <cell r="V344" t="str">
            <v>65629000-1 to 65629000-59</v>
          </cell>
        </row>
        <row r="345">
          <cell r="E345" t="str">
            <v>2382</v>
          </cell>
          <cell r="F345">
            <v>49</v>
          </cell>
          <cell r="G345">
            <v>15</v>
          </cell>
          <cell r="H345">
            <v>735</v>
          </cell>
          <cell r="I345" t="str">
            <v>RAISIN</v>
          </cell>
          <cell r="J345" t="str">
            <v>Raisin - Indian</v>
          </cell>
          <cell r="K345" t="str">
            <v>Indian</v>
          </cell>
          <cell r="L345" t="str">
            <v>Raisin</v>
          </cell>
          <cell r="M345" t="str">
            <v>Indian Green Raisins</v>
          </cell>
          <cell r="N345" t="str">
            <v>CFPL</v>
          </cell>
          <cell r="O345" t="str">
            <v>Savla</v>
          </cell>
          <cell r="P345" t="str">
            <v>Bhavesh</v>
          </cell>
          <cell r="Q345">
            <v>382</v>
          </cell>
          <cell r="R345">
            <v>280770</v>
          </cell>
          <cell r="S345">
            <v>43</v>
          </cell>
          <cell r="T345" t="str">
            <v>31-60 Days</v>
          </cell>
          <cell r="U345">
            <v>49</v>
          </cell>
          <cell r="V345" t="str">
            <v>65630000-1 to 65630000-49</v>
          </cell>
        </row>
        <row r="346">
          <cell r="E346" t="str">
            <v>2576</v>
          </cell>
          <cell r="F346">
            <v>1664</v>
          </cell>
          <cell r="G346">
            <v>10</v>
          </cell>
          <cell r="H346">
            <v>16640</v>
          </cell>
          <cell r="I346" t="str">
            <v>PISTA</v>
          </cell>
          <cell r="J346" t="str">
            <v>Pista - Inshell</v>
          </cell>
          <cell r="K346" t="str">
            <v>California 21-25</v>
          </cell>
          <cell r="L346" t="str">
            <v>Primex</v>
          </cell>
          <cell r="M346" t="str">
            <v>California Pista Inshell</v>
          </cell>
          <cell r="N346" t="str">
            <v>CFPL</v>
          </cell>
          <cell r="O346" t="str">
            <v>Savla</v>
          </cell>
          <cell r="P346" t="str">
            <v>Primex</v>
          </cell>
          <cell r="Q346">
            <v>950</v>
          </cell>
          <cell r="R346">
            <v>15808000</v>
          </cell>
          <cell r="S346">
            <v>40</v>
          </cell>
          <cell r="T346" t="str">
            <v>31-60 Days</v>
          </cell>
          <cell r="U346">
            <v>1664</v>
          </cell>
          <cell r="V346" t="str">
            <v>24801000-1 to 24801000-650, 24802000-1 to 24802000-654, 24803000-1 to 24803000-360</v>
          </cell>
        </row>
        <row r="347">
          <cell r="E347" t="str">
            <v>2580</v>
          </cell>
          <cell r="F347">
            <v>850</v>
          </cell>
          <cell r="G347">
            <v>25</v>
          </cell>
          <cell r="H347">
            <v>21250</v>
          </cell>
          <cell r="I347" t="str">
            <v>SEEDS</v>
          </cell>
          <cell r="J347" t="str">
            <v>Pumpkin</v>
          </cell>
          <cell r="K347" t="str">
            <v>Pumpkin</v>
          </cell>
          <cell r="L347" t="str">
            <v>Seed</v>
          </cell>
          <cell r="M347" t="str">
            <v>Pumpkin Seed ( 5% )</v>
          </cell>
          <cell r="N347" t="str">
            <v>CFPL</v>
          </cell>
          <cell r="O347" t="str">
            <v>Savla</v>
          </cell>
          <cell r="P347" t="str">
            <v>Local</v>
          </cell>
          <cell r="Q347">
            <v>368.57</v>
          </cell>
          <cell r="R347">
            <v>7832112.5</v>
          </cell>
          <cell r="S347">
            <v>39</v>
          </cell>
          <cell r="T347" t="str">
            <v>31-60 Days</v>
          </cell>
          <cell r="U347">
            <v>850</v>
          </cell>
          <cell r="V347" t="str">
            <v>11202000-31 to 11202000-880</v>
          </cell>
        </row>
        <row r="348">
          <cell r="E348" t="str">
            <v>2609</v>
          </cell>
          <cell r="F348">
            <v>32</v>
          </cell>
          <cell r="G348">
            <v>10</v>
          </cell>
          <cell r="H348">
            <v>320</v>
          </cell>
          <cell r="I348" t="str">
            <v>PISTA</v>
          </cell>
          <cell r="J348" t="str">
            <v>Pista - Inshell</v>
          </cell>
          <cell r="K348" t="str">
            <v>California 21-25</v>
          </cell>
          <cell r="L348" t="str">
            <v>Primex</v>
          </cell>
          <cell r="M348" t="str">
            <v>California Pista Inshell</v>
          </cell>
          <cell r="N348" t="str">
            <v>CFPL</v>
          </cell>
          <cell r="O348" t="str">
            <v>Savla</v>
          </cell>
          <cell r="P348" t="str">
            <v>Primex</v>
          </cell>
          <cell r="Q348">
            <v>950</v>
          </cell>
          <cell r="R348">
            <v>304000</v>
          </cell>
          <cell r="S348">
            <v>40</v>
          </cell>
          <cell r="T348" t="str">
            <v>31-60 Days</v>
          </cell>
          <cell r="U348">
            <v>32</v>
          </cell>
          <cell r="V348" t="str">
            <v>24804000-1 to 24804000-32</v>
          </cell>
        </row>
        <row r="349">
          <cell r="E349" t="str">
            <v>2685</v>
          </cell>
          <cell r="F349">
            <v>10</v>
          </cell>
          <cell r="G349">
            <v>10</v>
          </cell>
          <cell r="H349">
            <v>100</v>
          </cell>
          <cell r="I349" t="str">
            <v>PREMIUM NUTS</v>
          </cell>
          <cell r="J349" t="str">
            <v>Pecan Nuts</v>
          </cell>
          <cell r="K349" t="str">
            <v>Pecan</v>
          </cell>
          <cell r="L349" t="str">
            <v>Tukda</v>
          </cell>
          <cell r="M349" t="str">
            <v>Pecan Nuts</v>
          </cell>
          <cell r="N349" t="str">
            <v>CFPL</v>
          </cell>
          <cell r="O349" t="str">
            <v>Savla</v>
          </cell>
          <cell r="P349" t="str">
            <v>Local</v>
          </cell>
          <cell r="Q349">
            <v>1380</v>
          </cell>
          <cell r="R349">
            <v>138000</v>
          </cell>
          <cell r="S349">
            <v>39</v>
          </cell>
          <cell r="T349" t="str">
            <v>31-60 Days</v>
          </cell>
          <cell r="U349">
            <v>10</v>
          </cell>
          <cell r="V349" t="str">
            <v>11203000-1 to 11203000-10</v>
          </cell>
        </row>
        <row r="350">
          <cell r="E350" t="str">
            <v>2744</v>
          </cell>
          <cell r="F350">
            <v>1440</v>
          </cell>
          <cell r="G350">
            <v>11.34</v>
          </cell>
          <cell r="H350">
            <v>16329.6</v>
          </cell>
          <cell r="I350" t="str">
            <v>CRANBERRY</v>
          </cell>
          <cell r="J350" t="str">
            <v>Cranberry - Sliced</v>
          </cell>
          <cell r="K350" t="str">
            <v>Sliced</v>
          </cell>
          <cell r="L350" t="str">
            <v>OceanSpray</v>
          </cell>
          <cell r="M350" t="str">
            <v>Dried Cranberry Sliced</v>
          </cell>
          <cell r="N350" t="str">
            <v>CFPL</v>
          </cell>
          <cell r="O350" t="str">
            <v>Savla</v>
          </cell>
          <cell r="P350" t="str">
            <v>Tajir</v>
          </cell>
          <cell r="Q350">
            <v>395</v>
          </cell>
          <cell r="R350">
            <v>6450192</v>
          </cell>
          <cell r="S350">
            <v>39</v>
          </cell>
          <cell r="T350" t="str">
            <v>31-60 Days</v>
          </cell>
          <cell r="U350">
            <v>1440</v>
          </cell>
          <cell r="V350" t="str">
            <v>11204000-1 to 11204000-1440</v>
          </cell>
        </row>
        <row r="351">
          <cell r="E351" t="str">
            <v>3585</v>
          </cell>
          <cell r="F351">
            <v>599</v>
          </cell>
          <cell r="G351">
            <v>15</v>
          </cell>
          <cell r="H351">
            <v>8985</v>
          </cell>
          <cell r="I351" t="str">
            <v>RAISIN</v>
          </cell>
          <cell r="J351" t="str">
            <v>Raisin - Indian</v>
          </cell>
          <cell r="K351" t="str">
            <v>Indian</v>
          </cell>
          <cell r="L351" t="str">
            <v>Raisin</v>
          </cell>
          <cell r="M351" t="str">
            <v>Indian Green Raisins</v>
          </cell>
          <cell r="N351" t="str">
            <v>CFPL</v>
          </cell>
          <cell r="O351" t="str">
            <v>Savla</v>
          </cell>
          <cell r="P351" t="str">
            <v>Dev Int</v>
          </cell>
          <cell r="Q351">
            <v>361</v>
          </cell>
          <cell r="R351">
            <v>3243585</v>
          </cell>
          <cell r="S351">
            <v>31</v>
          </cell>
          <cell r="T351" t="str">
            <v>31-60 Days</v>
          </cell>
          <cell r="U351">
            <v>599</v>
          </cell>
          <cell r="V351" t="str">
            <v>02402000-1 to 02402000-80, 02403000-1 to 02403000-90, 02404000-1 to 02404000-66, 02405000-1 to 02405000-48, 02406000-1 to 02406000-54, 02407000-1 to 02407000-93, 02408000-1 to 02408000-84, 02409000-1 to 02409000-84</v>
          </cell>
        </row>
        <row r="352">
          <cell r="E352" t="str">
            <v>3623</v>
          </cell>
          <cell r="F352">
            <v>10</v>
          </cell>
          <cell r="G352">
            <v>5</v>
          </cell>
          <cell r="H352">
            <v>50</v>
          </cell>
          <cell r="I352" t="str">
            <v>DATES</v>
          </cell>
          <cell r="J352" t="str">
            <v>Deri</v>
          </cell>
          <cell r="K352" t="str">
            <v>Deri</v>
          </cell>
          <cell r="L352" t="str">
            <v>Deri</v>
          </cell>
          <cell r="M352" t="str">
            <v>Deri Dates</v>
          </cell>
          <cell r="N352" t="str">
            <v>CFPL</v>
          </cell>
          <cell r="O352" t="str">
            <v>Savla</v>
          </cell>
          <cell r="P352" t="str">
            <v>Hadiklaim</v>
          </cell>
          <cell r="Q352">
            <v>303</v>
          </cell>
          <cell r="R352">
            <v>15150</v>
          </cell>
          <cell r="S352">
            <v>33</v>
          </cell>
          <cell r="T352" t="str">
            <v>31-60 Days</v>
          </cell>
          <cell r="U352">
            <v>10</v>
          </cell>
          <cell r="V352" t="str">
            <v>29626000-1 to 29626000-10</v>
          </cell>
        </row>
        <row r="353">
          <cell r="E353" t="str">
            <v>3624</v>
          </cell>
          <cell r="F353">
            <v>1</v>
          </cell>
          <cell r="G353">
            <v>15</v>
          </cell>
          <cell r="H353">
            <v>15</v>
          </cell>
          <cell r="I353" t="str">
            <v>RAISIN</v>
          </cell>
          <cell r="J353" t="str">
            <v>Raisin - Indian</v>
          </cell>
          <cell r="K353" t="str">
            <v>Indian</v>
          </cell>
          <cell r="L353" t="str">
            <v>Raisin</v>
          </cell>
          <cell r="M353" t="str">
            <v>Indian Green Raisins</v>
          </cell>
          <cell r="N353" t="str">
            <v>CFPL</v>
          </cell>
          <cell r="O353" t="str">
            <v>Savla</v>
          </cell>
          <cell r="P353" t="str">
            <v>Bhavesh</v>
          </cell>
          <cell r="Q353">
            <v>382</v>
          </cell>
          <cell r="R353">
            <v>5730</v>
          </cell>
          <cell r="S353">
            <v>33</v>
          </cell>
          <cell r="T353" t="str">
            <v>31-60 Days</v>
          </cell>
          <cell r="U353">
            <v>1</v>
          </cell>
          <cell r="V353" t="str">
            <v>29627000-1</v>
          </cell>
        </row>
        <row r="354">
          <cell r="E354" t="str">
            <v>3625</v>
          </cell>
          <cell r="F354">
            <v>1</v>
          </cell>
          <cell r="G354">
            <v>15</v>
          </cell>
          <cell r="H354">
            <v>15</v>
          </cell>
          <cell r="I354" t="str">
            <v>RAISIN</v>
          </cell>
          <cell r="J354" t="str">
            <v>Raisin - Indian</v>
          </cell>
          <cell r="K354" t="str">
            <v>Indian</v>
          </cell>
          <cell r="L354" t="str">
            <v>Raisin</v>
          </cell>
          <cell r="M354" t="str">
            <v>Indian Green Raisins</v>
          </cell>
          <cell r="N354" t="str">
            <v>CFPL</v>
          </cell>
          <cell r="O354" t="str">
            <v>Savla</v>
          </cell>
          <cell r="P354" t="str">
            <v>Bhavesh</v>
          </cell>
          <cell r="Q354">
            <v>382</v>
          </cell>
          <cell r="R354">
            <v>5730</v>
          </cell>
          <cell r="S354">
            <v>33</v>
          </cell>
          <cell r="T354" t="str">
            <v>31-60 Days</v>
          </cell>
          <cell r="U354">
            <v>1</v>
          </cell>
          <cell r="V354" t="str">
            <v>29628000-1</v>
          </cell>
        </row>
        <row r="355">
          <cell r="E355" t="str">
            <v>3626</v>
          </cell>
          <cell r="F355">
            <v>1</v>
          </cell>
          <cell r="G355">
            <v>15</v>
          </cell>
          <cell r="H355">
            <v>15</v>
          </cell>
          <cell r="I355" t="str">
            <v>RAISIN</v>
          </cell>
          <cell r="J355" t="str">
            <v>Raisin - Indian</v>
          </cell>
          <cell r="K355" t="str">
            <v>Indian</v>
          </cell>
          <cell r="L355" t="str">
            <v>Raisin</v>
          </cell>
          <cell r="M355" t="str">
            <v>Indian Green Raisins</v>
          </cell>
          <cell r="N355" t="str">
            <v>CFPL</v>
          </cell>
          <cell r="O355" t="str">
            <v>Savla</v>
          </cell>
          <cell r="P355" t="str">
            <v>Bhavesh</v>
          </cell>
          <cell r="Q355">
            <v>382</v>
          </cell>
          <cell r="R355">
            <v>5730</v>
          </cell>
          <cell r="S355">
            <v>33</v>
          </cell>
          <cell r="T355" t="str">
            <v>31-60 Days</v>
          </cell>
          <cell r="U355">
            <v>1</v>
          </cell>
          <cell r="V355" t="str">
            <v>29629000-1</v>
          </cell>
        </row>
        <row r="356">
          <cell r="E356" t="str">
            <v>3627</v>
          </cell>
          <cell r="F356">
            <v>1</v>
          </cell>
          <cell r="G356">
            <v>15</v>
          </cell>
          <cell r="H356">
            <v>15</v>
          </cell>
          <cell r="I356" t="str">
            <v>RAISIN</v>
          </cell>
          <cell r="J356" t="str">
            <v>Raisin - Indian</v>
          </cell>
          <cell r="K356" t="str">
            <v>Indian</v>
          </cell>
          <cell r="L356" t="str">
            <v>Raisin</v>
          </cell>
          <cell r="M356" t="str">
            <v>Indian Green Raisins</v>
          </cell>
          <cell r="N356" t="str">
            <v>CFPL</v>
          </cell>
          <cell r="O356" t="str">
            <v>Savla</v>
          </cell>
          <cell r="P356" t="str">
            <v>Bhavesh</v>
          </cell>
          <cell r="Q356">
            <v>382</v>
          </cell>
          <cell r="R356">
            <v>5730</v>
          </cell>
          <cell r="S356">
            <v>33</v>
          </cell>
          <cell r="T356" t="str">
            <v>31-60 Days</v>
          </cell>
          <cell r="U356">
            <v>1</v>
          </cell>
          <cell r="V356" t="str">
            <v>29630000-1</v>
          </cell>
        </row>
        <row r="357">
          <cell r="E357" t="str">
            <v>3628</v>
          </cell>
          <cell r="F357">
            <v>1</v>
          </cell>
          <cell r="G357">
            <v>15</v>
          </cell>
          <cell r="H357">
            <v>15</v>
          </cell>
          <cell r="I357" t="str">
            <v>RAISIN</v>
          </cell>
          <cell r="J357" t="str">
            <v>Raisin - Indian</v>
          </cell>
          <cell r="K357" t="str">
            <v>Indian</v>
          </cell>
          <cell r="L357" t="str">
            <v>Raisin</v>
          </cell>
          <cell r="M357" t="str">
            <v>Indian Green Raisins</v>
          </cell>
          <cell r="N357" t="str">
            <v>CFPL</v>
          </cell>
          <cell r="O357" t="str">
            <v>Savla</v>
          </cell>
          <cell r="P357" t="str">
            <v>Bhavesh</v>
          </cell>
          <cell r="Q357">
            <v>382</v>
          </cell>
          <cell r="R357">
            <v>5730</v>
          </cell>
          <cell r="S357">
            <v>33</v>
          </cell>
          <cell r="T357" t="str">
            <v>31-60 Days</v>
          </cell>
          <cell r="U357">
            <v>1</v>
          </cell>
          <cell r="V357" t="str">
            <v>29631000-1</v>
          </cell>
        </row>
        <row r="358">
          <cell r="E358" t="str">
            <v>3629</v>
          </cell>
          <cell r="F358">
            <v>1</v>
          </cell>
          <cell r="G358">
            <v>15</v>
          </cell>
          <cell r="H358">
            <v>15</v>
          </cell>
          <cell r="I358" t="str">
            <v>RAISIN</v>
          </cell>
          <cell r="J358" t="str">
            <v>Raisin - Indian</v>
          </cell>
          <cell r="K358" t="str">
            <v>Indian</v>
          </cell>
          <cell r="L358" t="str">
            <v>Raisin</v>
          </cell>
          <cell r="M358" t="str">
            <v>Indian Green Raisins</v>
          </cell>
          <cell r="N358" t="str">
            <v>CFPL</v>
          </cell>
          <cell r="O358" t="str">
            <v>Savla</v>
          </cell>
          <cell r="P358" t="str">
            <v>Bhavesh</v>
          </cell>
          <cell r="Q358">
            <v>382</v>
          </cell>
          <cell r="R358">
            <v>5730</v>
          </cell>
          <cell r="S358">
            <v>33</v>
          </cell>
          <cell r="T358" t="str">
            <v>31-60 Days</v>
          </cell>
          <cell r="U358">
            <v>1</v>
          </cell>
          <cell r="V358" t="str">
            <v>29632000-1</v>
          </cell>
        </row>
        <row r="359">
          <cell r="E359" t="str">
            <v>3630</v>
          </cell>
          <cell r="F359">
            <v>1</v>
          </cell>
          <cell r="G359">
            <v>15</v>
          </cell>
          <cell r="H359">
            <v>15</v>
          </cell>
          <cell r="I359" t="str">
            <v>RAISIN</v>
          </cell>
          <cell r="J359" t="str">
            <v>Raisin - Indian</v>
          </cell>
          <cell r="K359" t="str">
            <v>Indian</v>
          </cell>
          <cell r="L359" t="str">
            <v>Raisin</v>
          </cell>
          <cell r="M359" t="str">
            <v>Indian Green Raisins</v>
          </cell>
          <cell r="N359" t="str">
            <v>CFPL</v>
          </cell>
          <cell r="O359" t="str">
            <v>Savla</v>
          </cell>
          <cell r="P359" t="str">
            <v>Bhavesh</v>
          </cell>
          <cell r="Q359">
            <v>382</v>
          </cell>
          <cell r="R359">
            <v>5730</v>
          </cell>
          <cell r="S359">
            <v>33</v>
          </cell>
          <cell r="T359" t="str">
            <v>31-60 Days</v>
          </cell>
          <cell r="U359">
            <v>1</v>
          </cell>
          <cell r="V359" t="str">
            <v>29633000-1</v>
          </cell>
        </row>
        <row r="360">
          <cell r="E360" t="str">
            <v>3631</v>
          </cell>
          <cell r="F360">
            <v>1</v>
          </cell>
          <cell r="G360">
            <v>15</v>
          </cell>
          <cell r="H360">
            <v>15</v>
          </cell>
          <cell r="I360" t="str">
            <v>RAISIN</v>
          </cell>
          <cell r="J360" t="str">
            <v>Raisin - Indian</v>
          </cell>
          <cell r="K360" t="str">
            <v>Indian</v>
          </cell>
          <cell r="L360" t="str">
            <v>Raisin</v>
          </cell>
          <cell r="M360" t="str">
            <v>Indian Green Raisins</v>
          </cell>
          <cell r="N360" t="str">
            <v>CFPL</v>
          </cell>
          <cell r="O360" t="str">
            <v>Savla</v>
          </cell>
          <cell r="P360" t="str">
            <v>Bhavesh</v>
          </cell>
          <cell r="Q360">
            <v>382</v>
          </cell>
          <cell r="R360">
            <v>5730</v>
          </cell>
          <cell r="S360">
            <v>33</v>
          </cell>
          <cell r="T360" t="str">
            <v>31-60 Days</v>
          </cell>
          <cell r="U360">
            <v>1</v>
          </cell>
          <cell r="V360" t="str">
            <v>29634000-1</v>
          </cell>
        </row>
        <row r="361">
          <cell r="E361" t="str">
            <v>3632</v>
          </cell>
          <cell r="F361">
            <v>1</v>
          </cell>
          <cell r="G361">
            <v>15</v>
          </cell>
          <cell r="H361">
            <v>15</v>
          </cell>
          <cell r="I361" t="str">
            <v>RAISIN</v>
          </cell>
          <cell r="J361" t="str">
            <v>Raisin - Indian</v>
          </cell>
          <cell r="K361" t="str">
            <v>Indian</v>
          </cell>
          <cell r="L361" t="str">
            <v>Raisin</v>
          </cell>
          <cell r="M361" t="str">
            <v>Indian Green Raisins</v>
          </cell>
          <cell r="N361" t="str">
            <v>CFPL</v>
          </cell>
          <cell r="O361" t="str">
            <v>Savla</v>
          </cell>
          <cell r="P361" t="str">
            <v>Bhavesh</v>
          </cell>
          <cell r="Q361">
            <v>382</v>
          </cell>
          <cell r="R361">
            <v>5730</v>
          </cell>
          <cell r="S361">
            <v>33</v>
          </cell>
          <cell r="T361" t="str">
            <v>31-60 Days</v>
          </cell>
          <cell r="U361">
            <v>1</v>
          </cell>
          <cell r="V361" t="str">
            <v>29635000-1</v>
          </cell>
        </row>
        <row r="362">
          <cell r="E362" t="str">
            <v>3633</v>
          </cell>
          <cell r="F362">
            <v>1</v>
          </cell>
          <cell r="G362">
            <v>15</v>
          </cell>
          <cell r="H362">
            <v>15</v>
          </cell>
          <cell r="I362" t="str">
            <v>RAISIN</v>
          </cell>
          <cell r="J362" t="str">
            <v>Raisin - Indian</v>
          </cell>
          <cell r="K362" t="str">
            <v>Indian</v>
          </cell>
          <cell r="L362" t="str">
            <v>Raisin</v>
          </cell>
          <cell r="M362" t="str">
            <v>Indian Green Raisins</v>
          </cell>
          <cell r="N362" t="str">
            <v>CFPL</v>
          </cell>
          <cell r="O362" t="str">
            <v>Savla</v>
          </cell>
          <cell r="P362" t="str">
            <v>Bhavesh</v>
          </cell>
          <cell r="Q362">
            <v>382</v>
          </cell>
          <cell r="R362">
            <v>5730</v>
          </cell>
          <cell r="S362">
            <v>33</v>
          </cell>
          <cell r="T362" t="str">
            <v>31-60 Days</v>
          </cell>
          <cell r="U362">
            <v>1</v>
          </cell>
          <cell r="V362" t="str">
            <v>29636000-1</v>
          </cell>
        </row>
        <row r="363">
          <cell r="E363" t="str">
            <v>3634</v>
          </cell>
          <cell r="F363">
            <v>1</v>
          </cell>
          <cell r="G363">
            <v>15</v>
          </cell>
          <cell r="H363">
            <v>15</v>
          </cell>
          <cell r="I363" t="str">
            <v>RAISIN</v>
          </cell>
          <cell r="J363" t="str">
            <v>Raisin - Indian</v>
          </cell>
          <cell r="K363" t="str">
            <v>Indian</v>
          </cell>
          <cell r="L363" t="str">
            <v>Raisin</v>
          </cell>
          <cell r="M363" t="str">
            <v>Indian Green Raisins</v>
          </cell>
          <cell r="N363" t="str">
            <v>CFPL</v>
          </cell>
          <cell r="O363" t="str">
            <v>Savla</v>
          </cell>
          <cell r="P363" t="str">
            <v>Bhavesh</v>
          </cell>
          <cell r="Q363">
            <v>382</v>
          </cell>
          <cell r="R363">
            <v>5730</v>
          </cell>
          <cell r="S363">
            <v>33</v>
          </cell>
          <cell r="T363" t="str">
            <v>31-60 Days</v>
          </cell>
          <cell r="U363">
            <v>1</v>
          </cell>
          <cell r="V363" t="str">
            <v>29637000-1</v>
          </cell>
        </row>
        <row r="364">
          <cell r="E364" t="str">
            <v>3635</v>
          </cell>
          <cell r="F364">
            <v>1</v>
          </cell>
          <cell r="G364">
            <v>15</v>
          </cell>
          <cell r="H364">
            <v>15</v>
          </cell>
          <cell r="I364" t="str">
            <v>RAISIN</v>
          </cell>
          <cell r="J364" t="str">
            <v>Raisin - Indian</v>
          </cell>
          <cell r="K364" t="str">
            <v>Indian</v>
          </cell>
          <cell r="L364" t="str">
            <v>Raisin</v>
          </cell>
          <cell r="M364" t="str">
            <v>Indian Green Raisins</v>
          </cell>
          <cell r="N364" t="str">
            <v>CFPL</v>
          </cell>
          <cell r="O364" t="str">
            <v>Savla</v>
          </cell>
          <cell r="P364" t="str">
            <v>Bhavesh</v>
          </cell>
          <cell r="Q364">
            <v>382</v>
          </cell>
          <cell r="R364">
            <v>5730</v>
          </cell>
          <cell r="S364">
            <v>33</v>
          </cell>
          <cell r="T364" t="str">
            <v>31-60 Days</v>
          </cell>
          <cell r="U364">
            <v>1</v>
          </cell>
          <cell r="V364" t="str">
            <v>29638000-1</v>
          </cell>
        </row>
        <row r="365">
          <cell r="E365" t="str">
            <v>3636</v>
          </cell>
          <cell r="F365">
            <v>1</v>
          </cell>
          <cell r="G365">
            <v>15</v>
          </cell>
          <cell r="H365">
            <v>15</v>
          </cell>
          <cell r="I365" t="str">
            <v>RAISIN</v>
          </cell>
          <cell r="J365" t="str">
            <v>Raisin - Indian</v>
          </cell>
          <cell r="K365" t="str">
            <v>Indian</v>
          </cell>
          <cell r="L365" t="str">
            <v>Raisin</v>
          </cell>
          <cell r="M365" t="str">
            <v>Indian Green Raisins</v>
          </cell>
          <cell r="N365" t="str">
            <v>CFPL</v>
          </cell>
          <cell r="O365" t="str">
            <v>Savla</v>
          </cell>
          <cell r="P365" t="str">
            <v>Bhavesh</v>
          </cell>
          <cell r="Q365">
            <v>382</v>
          </cell>
          <cell r="R365">
            <v>5730</v>
          </cell>
          <cell r="S365">
            <v>33</v>
          </cell>
          <cell r="T365" t="str">
            <v>31-60 Days</v>
          </cell>
          <cell r="U365">
            <v>1</v>
          </cell>
          <cell r="V365" t="str">
            <v>29639000-1</v>
          </cell>
        </row>
        <row r="366">
          <cell r="E366" t="str">
            <v>3637</v>
          </cell>
          <cell r="F366">
            <v>1</v>
          </cell>
          <cell r="G366">
            <v>15</v>
          </cell>
          <cell r="H366">
            <v>15</v>
          </cell>
          <cell r="I366" t="str">
            <v>RAISIN</v>
          </cell>
          <cell r="J366" t="str">
            <v>Raisin - Indian</v>
          </cell>
          <cell r="K366" t="str">
            <v>Indian</v>
          </cell>
          <cell r="L366" t="str">
            <v>Raisin</v>
          </cell>
          <cell r="M366" t="str">
            <v>Indian Green Raisins</v>
          </cell>
          <cell r="N366" t="str">
            <v>CFPL</v>
          </cell>
          <cell r="O366" t="str">
            <v>Savla</v>
          </cell>
          <cell r="P366" t="str">
            <v>Bhavesh</v>
          </cell>
          <cell r="Q366">
            <v>382</v>
          </cell>
          <cell r="R366">
            <v>5730</v>
          </cell>
          <cell r="S366">
            <v>33</v>
          </cell>
          <cell r="T366" t="str">
            <v>31-60 Days</v>
          </cell>
          <cell r="U366">
            <v>1</v>
          </cell>
          <cell r="V366" t="str">
            <v>29640000-1</v>
          </cell>
        </row>
        <row r="367">
          <cell r="E367" t="str">
            <v>3638</v>
          </cell>
          <cell r="F367">
            <v>1</v>
          </cell>
          <cell r="G367">
            <v>15</v>
          </cell>
          <cell r="H367">
            <v>15</v>
          </cell>
          <cell r="I367" t="str">
            <v>RAISIN</v>
          </cell>
          <cell r="J367" t="str">
            <v>Raisin - Indian</v>
          </cell>
          <cell r="K367" t="str">
            <v>Indian</v>
          </cell>
          <cell r="L367" t="str">
            <v>Raisin</v>
          </cell>
          <cell r="M367" t="str">
            <v>Indian Green Raisins</v>
          </cell>
          <cell r="N367" t="str">
            <v>CFPL</v>
          </cell>
          <cell r="O367" t="str">
            <v>Savla</v>
          </cell>
          <cell r="P367" t="str">
            <v>Bhavesh</v>
          </cell>
          <cell r="Q367">
            <v>382</v>
          </cell>
          <cell r="R367">
            <v>5730</v>
          </cell>
          <cell r="S367">
            <v>33</v>
          </cell>
          <cell r="T367" t="str">
            <v>31-60 Days</v>
          </cell>
          <cell r="U367">
            <v>1</v>
          </cell>
          <cell r="V367" t="str">
            <v>29641000-1</v>
          </cell>
        </row>
        <row r="368">
          <cell r="E368" t="str">
            <v>3639</v>
          </cell>
          <cell r="F368">
            <v>1</v>
          </cell>
          <cell r="G368">
            <v>15</v>
          </cell>
          <cell r="H368">
            <v>15</v>
          </cell>
          <cell r="I368" t="str">
            <v>RAISIN</v>
          </cell>
          <cell r="J368" t="str">
            <v>Raisin - Indian</v>
          </cell>
          <cell r="K368" t="str">
            <v>Indian</v>
          </cell>
          <cell r="L368" t="str">
            <v>Raisin</v>
          </cell>
          <cell r="M368" t="str">
            <v>Indian Green Raisins</v>
          </cell>
          <cell r="N368" t="str">
            <v>CFPL</v>
          </cell>
          <cell r="O368" t="str">
            <v>Savla</v>
          </cell>
          <cell r="P368" t="str">
            <v>Bhavesh</v>
          </cell>
          <cell r="Q368">
            <v>382</v>
          </cell>
          <cell r="R368">
            <v>5730</v>
          </cell>
          <cell r="S368">
            <v>33</v>
          </cell>
          <cell r="T368" t="str">
            <v>31-60 Days</v>
          </cell>
          <cell r="U368">
            <v>1</v>
          </cell>
          <cell r="V368" t="str">
            <v>29642000-1</v>
          </cell>
        </row>
        <row r="369">
          <cell r="E369" t="str">
            <v>3640</v>
          </cell>
          <cell r="F369">
            <v>1</v>
          </cell>
          <cell r="G369">
            <v>15</v>
          </cell>
          <cell r="H369">
            <v>15</v>
          </cell>
          <cell r="I369" t="str">
            <v>RAISIN</v>
          </cell>
          <cell r="J369" t="str">
            <v>Raisin - Indian</v>
          </cell>
          <cell r="K369" t="str">
            <v>Indian</v>
          </cell>
          <cell r="L369" t="str">
            <v>Raisin</v>
          </cell>
          <cell r="M369" t="str">
            <v>Indian Green Raisins</v>
          </cell>
          <cell r="N369" t="str">
            <v>CFPL</v>
          </cell>
          <cell r="O369" t="str">
            <v>Savla</v>
          </cell>
          <cell r="P369" t="str">
            <v>Bhavesh</v>
          </cell>
          <cell r="Q369">
            <v>382</v>
          </cell>
          <cell r="R369">
            <v>5730</v>
          </cell>
          <cell r="S369">
            <v>33</v>
          </cell>
          <cell r="T369" t="str">
            <v>31-60 Days</v>
          </cell>
          <cell r="U369">
            <v>1</v>
          </cell>
          <cell r="V369" t="str">
            <v>29643000-1</v>
          </cell>
        </row>
        <row r="370">
          <cell r="E370" t="str">
            <v>3641</v>
          </cell>
          <cell r="F370">
            <v>1</v>
          </cell>
          <cell r="G370">
            <v>15</v>
          </cell>
          <cell r="H370">
            <v>15</v>
          </cell>
          <cell r="I370" t="str">
            <v>RAISIN</v>
          </cell>
          <cell r="J370" t="str">
            <v>Raisin - Indian</v>
          </cell>
          <cell r="K370" t="str">
            <v>Indian</v>
          </cell>
          <cell r="L370" t="str">
            <v>Raisin</v>
          </cell>
          <cell r="M370" t="str">
            <v>Indian Green Raisins</v>
          </cell>
          <cell r="N370" t="str">
            <v>CFPL</v>
          </cell>
          <cell r="O370" t="str">
            <v>Savla</v>
          </cell>
          <cell r="P370" t="str">
            <v>Bhavesh</v>
          </cell>
          <cell r="Q370">
            <v>382</v>
          </cell>
          <cell r="R370">
            <v>5730</v>
          </cell>
          <cell r="S370">
            <v>33</v>
          </cell>
          <cell r="T370" t="str">
            <v>31-60 Days</v>
          </cell>
          <cell r="U370">
            <v>1</v>
          </cell>
          <cell r="V370" t="str">
            <v>29644000-1</v>
          </cell>
        </row>
        <row r="371">
          <cell r="E371" t="str">
            <v>3642</v>
          </cell>
          <cell r="F371">
            <v>1</v>
          </cell>
          <cell r="G371">
            <v>15</v>
          </cell>
          <cell r="H371">
            <v>15</v>
          </cell>
          <cell r="I371" t="str">
            <v>RAISIN</v>
          </cell>
          <cell r="J371" t="str">
            <v>Raisin - Indian</v>
          </cell>
          <cell r="K371" t="str">
            <v>Indian</v>
          </cell>
          <cell r="L371" t="str">
            <v>Raisin</v>
          </cell>
          <cell r="M371" t="str">
            <v>Indian Green Raisins</v>
          </cell>
          <cell r="N371" t="str">
            <v>CFPL</v>
          </cell>
          <cell r="O371" t="str">
            <v>Savla</v>
          </cell>
          <cell r="P371" t="str">
            <v>Bhavesh</v>
          </cell>
          <cell r="Q371">
            <v>382</v>
          </cell>
          <cell r="R371">
            <v>5730</v>
          </cell>
          <cell r="S371">
            <v>33</v>
          </cell>
          <cell r="T371" t="str">
            <v>31-60 Days</v>
          </cell>
          <cell r="U371">
            <v>1</v>
          </cell>
          <cell r="V371" t="str">
            <v>29645000-1</v>
          </cell>
        </row>
        <row r="372">
          <cell r="E372" t="str">
            <v>3643</v>
          </cell>
          <cell r="F372">
            <v>1</v>
          </cell>
          <cell r="G372">
            <v>15</v>
          </cell>
          <cell r="H372">
            <v>15</v>
          </cell>
          <cell r="I372" t="str">
            <v>RAISIN</v>
          </cell>
          <cell r="J372" t="str">
            <v>Raisin - Indian</v>
          </cell>
          <cell r="K372" t="str">
            <v>Indian</v>
          </cell>
          <cell r="L372" t="str">
            <v>Raisin</v>
          </cell>
          <cell r="M372" t="str">
            <v>Indian Green Raisins</v>
          </cell>
          <cell r="N372" t="str">
            <v>CFPL</v>
          </cell>
          <cell r="O372" t="str">
            <v>Savla</v>
          </cell>
          <cell r="P372" t="str">
            <v>Bhavesh</v>
          </cell>
          <cell r="Q372">
            <v>382</v>
          </cell>
          <cell r="R372">
            <v>5730</v>
          </cell>
          <cell r="S372">
            <v>33</v>
          </cell>
          <cell r="T372" t="str">
            <v>31-60 Days</v>
          </cell>
          <cell r="U372">
            <v>1</v>
          </cell>
          <cell r="V372" t="str">
            <v>29646000-1</v>
          </cell>
        </row>
        <row r="373">
          <cell r="E373" t="str">
            <v>5025</v>
          </cell>
          <cell r="F373">
            <v>67</v>
          </cell>
          <cell r="G373">
            <v>30</v>
          </cell>
          <cell r="H373">
            <v>2010</v>
          </cell>
          <cell r="I373" t="str">
            <v>ALMOND</v>
          </cell>
          <cell r="J373" t="str">
            <v>Almond - Kernels</v>
          </cell>
          <cell r="K373" t="str">
            <v>Kernel Size 25-27</v>
          </cell>
          <cell r="L373" t="str">
            <v>Unazo</v>
          </cell>
          <cell r="M373" t="str">
            <v>American Almonds Running 25-27 count</v>
          </cell>
          <cell r="N373" t="str">
            <v>CFPL</v>
          </cell>
          <cell r="O373" t="str">
            <v>Savla</v>
          </cell>
          <cell r="P373" t="str">
            <v>0</v>
          </cell>
          <cell r="Q373">
            <v>745</v>
          </cell>
          <cell r="R373">
            <v>1497450</v>
          </cell>
          <cell r="S373">
            <v>21</v>
          </cell>
          <cell r="T373" t="str">
            <v>0-30 Days</v>
          </cell>
          <cell r="U373">
            <v>67</v>
          </cell>
          <cell r="V373" t="str">
            <v>66401000-91 to 66401000-157</v>
          </cell>
        </row>
        <row r="374">
          <cell r="E374" t="str">
            <v>5026</v>
          </cell>
          <cell r="F374">
            <v>13</v>
          </cell>
          <cell r="G374">
            <v>30</v>
          </cell>
          <cell r="H374">
            <v>390</v>
          </cell>
          <cell r="I374" t="str">
            <v>ALMOND</v>
          </cell>
          <cell r="J374" t="str">
            <v>Almond - Kernels</v>
          </cell>
          <cell r="K374" t="str">
            <v>Kernel Size 22</v>
          </cell>
          <cell r="L374" t="str">
            <v>Unazo</v>
          </cell>
          <cell r="M374" t="str">
            <v>American Almonds Kernel 20-22 count</v>
          </cell>
          <cell r="N374" t="str">
            <v>CFPL</v>
          </cell>
          <cell r="O374" t="str">
            <v>Savla</v>
          </cell>
          <cell r="P374" t="str">
            <v>0</v>
          </cell>
          <cell r="Q374">
            <v>820</v>
          </cell>
          <cell r="R374">
            <v>319800</v>
          </cell>
          <cell r="S374">
            <v>21</v>
          </cell>
          <cell r="T374" t="str">
            <v>0-30 Days</v>
          </cell>
          <cell r="U374">
            <v>13</v>
          </cell>
          <cell r="V374" t="str">
            <v>66402000-2 to 66402000-14</v>
          </cell>
        </row>
        <row r="375">
          <cell r="E375" t="str">
            <v>5027</v>
          </cell>
          <cell r="F375">
            <v>31</v>
          </cell>
          <cell r="G375">
            <v>30</v>
          </cell>
          <cell r="H375">
            <v>930</v>
          </cell>
          <cell r="I375" t="str">
            <v>ALMOND</v>
          </cell>
          <cell r="J375" t="str">
            <v>Almond - Kernels</v>
          </cell>
          <cell r="K375" t="str">
            <v>Kernel Size 20</v>
          </cell>
          <cell r="L375" t="str">
            <v>Unazo</v>
          </cell>
          <cell r="M375" t="str">
            <v>American Almonds ( 18-20 Count)</v>
          </cell>
          <cell r="N375" t="str">
            <v>CFPL</v>
          </cell>
          <cell r="O375" t="str">
            <v>Savla</v>
          </cell>
          <cell r="P375" t="str">
            <v>0</v>
          </cell>
          <cell r="Q375">
            <v>850</v>
          </cell>
          <cell r="R375">
            <v>790500</v>
          </cell>
          <cell r="S375">
            <v>21</v>
          </cell>
          <cell r="T375" t="str">
            <v>0-30 Days</v>
          </cell>
          <cell r="U375">
            <v>31</v>
          </cell>
          <cell r="V375" t="str">
            <v>66403000-1 to 66403000-31</v>
          </cell>
        </row>
        <row r="376">
          <cell r="E376" t="str">
            <v>5396</v>
          </cell>
          <cell r="F376">
            <v>1665</v>
          </cell>
          <cell r="G376">
            <v>11.34</v>
          </cell>
          <cell r="H376">
            <v>18881.099999999999</v>
          </cell>
          <cell r="I376" t="str">
            <v>PISTA</v>
          </cell>
          <cell r="J376" t="str">
            <v>Pista - Inshell</v>
          </cell>
          <cell r="K376" t="str">
            <v>California 18-21</v>
          </cell>
          <cell r="L376" t="str">
            <v>Inshell</v>
          </cell>
          <cell r="M376" t="str">
            <v>California Pista Inshell</v>
          </cell>
          <cell r="N376" t="str">
            <v>CFPL</v>
          </cell>
          <cell r="O376" t="str">
            <v>Savla</v>
          </cell>
          <cell r="P376" t="str">
            <v>Wonderful</v>
          </cell>
          <cell r="Q376">
            <v>1045</v>
          </cell>
          <cell r="R376">
            <v>19730749.5</v>
          </cell>
          <cell r="S376">
            <v>18</v>
          </cell>
          <cell r="T376" t="str">
            <v>0-30 Days</v>
          </cell>
          <cell r="U376">
            <v>1665</v>
          </cell>
          <cell r="V376" t="str">
            <v>25601000-51 to 25601000-120, 25602000-1 to 25602000-88, 25603000-1 to 25603000-78, 25604000-1 to 25604000-92, 25605000-1 to 25605000-88, 25606000-1 to 25606000-84, 25607000-1 to 25607000-88, 25608000-1 to 25608000-99, 25609000-1 to 25609000-92, 25610000-1 to 25610000-76, 25611000-1 to 25611000-87, 25612000-1 to 25612000-77, 25613000-1 to 25613000-68, 25614000-1 to 25614000-100, 25615000-1 to 25615000-20, 25616000-1 to 25616000-92, 25617000-1 to 25617000-82, 25618000-1 to 25618000-92, 25619000-1 to 25619000-108, 25620000-1 to 25620000-84</v>
          </cell>
        </row>
        <row r="377">
          <cell r="E377" t="str">
            <v>5397</v>
          </cell>
          <cell r="F377">
            <v>52</v>
          </cell>
          <cell r="G377">
            <v>15</v>
          </cell>
          <cell r="H377">
            <v>780</v>
          </cell>
          <cell r="I377" t="str">
            <v>RAISIN</v>
          </cell>
          <cell r="J377" t="str">
            <v>Raisin - Indian</v>
          </cell>
          <cell r="K377" t="str">
            <v>Indian</v>
          </cell>
          <cell r="L377" t="str">
            <v>Raisin</v>
          </cell>
          <cell r="M377" t="str">
            <v>Indian Green Raisins</v>
          </cell>
          <cell r="N377" t="str">
            <v>CFPL</v>
          </cell>
          <cell r="O377" t="str">
            <v>Savla</v>
          </cell>
          <cell r="P377" t="str">
            <v>Bhavesh</v>
          </cell>
          <cell r="Q377">
            <v>364</v>
          </cell>
          <cell r="R377">
            <v>283920</v>
          </cell>
          <cell r="S377">
            <v>18</v>
          </cell>
          <cell r="T377" t="str">
            <v>0-30 Days</v>
          </cell>
          <cell r="U377">
            <v>52</v>
          </cell>
          <cell r="V377" t="str">
            <v>25621000-1 to 25621000-52</v>
          </cell>
        </row>
        <row r="378">
          <cell r="E378" t="str">
            <v>5398</v>
          </cell>
          <cell r="F378">
            <v>29</v>
          </cell>
          <cell r="G378">
            <v>15</v>
          </cell>
          <cell r="H378">
            <v>435</v>
          </cell>
          <cell r="I378" t="str">
            <v>RAISIN</v>
          </cell>
          <cell r="J378" t="str">
            <v>Raisin - Indian</v>
          </cell>
          <cell r="K378" t="str">
            <v>Indian</v>
          </cell>
          <cell r="L378" t="str">
            <v>Raisin</v>
          </cell>
          <cell r="M378" t="str">
            <v>Indian Green Raisins</v>
          </cell>
          <cell r="N378" t="str">
            <v>CFPL</v>
          </cell>
          <cell r="O378" t="str">
            <v>Savla</v>
          </cell>
          <cell r="P378" t="str">
            <v>Bhavesh</v>
          </cell>
          <cell r="Q378">
            <v>364</v>
          </cell>
          <cell r="R378">
            <v>158340</v>
          </cell>
          <cell r="S378">
            <v>18</v>
          </cell>
          <cell r="T378" t="str">
            <v>0-30 Days</v>
          </cell>
          <cell r="U378">
            <v>29</v>
          </cell>
          <cell r="V378" t="str">
            <v>25622000-1 to 25622000-29</v>
          </cell>
        </row>
        <row r="379">
          <cell r="E379" t="str">
            <v>5399</v>
          </cell>
          <cell r="F379">
            <v>69</v>
          </cell>
          <cell r="G379">
            <v>15</v>
          </cell>
          <cell r="H379">
            <v>1035</v>
          </cell>
          <cell r="I379" t="str">
            <v>RAISIN</v>
          </cell>
          <cell r="J379" t="str">
            <v>Raisin - Indian</v>
          </cell>
          <cell r="K379" t="str">
            <v>Indian</v>
          </cell>
          <cell r="L379" t="str">
            <v>Raisin</v>
          </cell>
          <cell r="M379" t="str">
            <v>Indian Green Raisins</v>
          </cell>
          <cell r="N379" t="str">
            <v>CFPL</v>
          </cell>
          <cell r="O379" t="str">
            <v>Savla</v>
          </cell>
          <cell r="P379" t="str">
            <v>Bhavesh</v>
          </cell>
          <cell r="Q379">
            <v>364</v>
          </cell>
          <cell r="R379">
            <v>376740</v>
          </cell>
          <cell r="S379">
            <v>18</v>
          </cell>
          <cell r="T379" t="str">
            <v>0-30 Days</v>
          </cell>
          <cell r="U379">
            <v>69</v>
          </cell>
          <cell r="V379" t="str">
            <v>25623000-1 to 25623000-69</v>
          </cell>
        </row>
        <row r="380">
          <cell r="E380" t="str">
            <v>5400</v>
          </cell>
          <cell r="F380">
            <v>44</v>
          </cell>
          <cell r="G380">
            <v>15</v>
          </cell>
          <cell r="H380">
            <v>660</v>
          </cell>
          <cell r="I380" t="str">
            <v>RAISIN</v>
          </cell>
          <cell r="J380" t="str">
            <v>Raisin - Indian</v>
          </cell>
          <cell r="K380" t="str">
            <v>Indian</v>
          </cell>
          <cell r="L380" t="str">
            <v>Raisin</v>
          </cell>
          <cell r="M380" t="str">
            <v>Indian Green Raisins</v>
          </cell>
          <cell r="N380" t="str">
            <v>CFPL</v>
          </cell>
          <cell r="O380" t="str">
            <v>Savla</v>
          </cell>
          <cell r="P380" t="str">
            <v>Bhavesh</v>
          </cell>
          <cell r="Q380">
            <v>364</v>
          </cell>
          <cell r="R380">
            <v>240240</v>
          </cell>
          <cell r="S380">
            <v>18</v>
          </cell>
          <cell r="T380" t="str">
            <v>0-30 Days</v>
          </cell>
          <cell r="U380">
            <v>44</v>
          </cell>
          <cell r="V380" t="str">
            <v>25624000-1 to 25624000-44</v>
          </cell>
        </row>
        <row r="381">
          <cell r="E381" t="str">
            <v>5401</v>
          </cell>
          <cell r="F381">
            <v>132</v>
          </cell>
          <cell r="G381">
            <v>15</v>
          </cell>
          <cell r="H381">
            <v>1980</v>
          </cell>
          <cell r="I381" t="str">
            <v>RAISIN</v>
          </cell>
          <cell r="J381" t="str">
            <v>Raisin - Indian</v>
          </cell>
          <cell r="K381" t="str">
            <v>Indian</v>
          </cell>
          <cell r="L381" t="str">
            <v>Raisin</v>
          </cell>
          <cell r="M381" t="str">
            <v>Indian Green Raisins</v>
          </cell>
          <cell r="N381" t="str">
            <v>CFPL</v>
          </cell>
          <cell r="O381" t="str">
            <v>Savla</v>
          </cell>
          <cell r="P381" t="str">
            <v>Bhavesh</v>
          </cell>
          <cell r="Q381">
            <v>364</v>
          </cell>
          <cell r="R381">
            <v>720720</v>
          </cell>
          <cell r="S381">
            <v>18</v>
          </cell>
          <cell r="T381" t="str">
            <v>0-30 Days</v>
          </cell>
          <cell r="U381">
            <v>132</v>
          </cell>
          <cell r="V381" t="str">
            <v>25625000-1 to 25625000-132</v>
          </cell>
        </row>
        <row r="382">
          <cell r="E382" t="str">
            <v>5402</v>
          </cell>
          <cell r="F382">
            <v>66</v>
          </cell>
          <cell r="G382">
            <v>15</v>
          </cell>
          <cell r="H382">
            <v>990</v>
          </cell>
          <cell r="I382" t="str">
            <v>RAISIN</v>
          </cell>
          <cell r="J382" t="str">
            <v>Raisin - Indian</v>
          </cell>
          <cell r="K382" t="str">
            <v>Indian</v>
          </cell>
          <cell r="L382" t="str">
            <v>Raisin</v>
          </cell>
          <cell r="M382" t="str">
            <v>Indian Green Raisins</v>
          </cell>
          <cell r="N382" t="str">
            <v>CFPL</v>
          </cell>
          <cell r="O382" t="str">
            <v>Savla</v>
          </cell>
          <cell r="P382" t="str">
            <v>Bhavesh</v>
          </cell>
          <cell r="Q382">
            <v>364</v>
          </cell>
          <cell r="R382">
            <v>360360</v>
          </cell>
          <cell r="S382">
            <v>18</v>
          </cell>
          <cell r="T382" t="str">
            <v>0-30 Days</v>
          </cell>
          <cell r="U382">
            <v>66</v>
          </cell>
          <cell r="V382" t="str">
            <v>25626000-1 to 25626000-66</v>
          </cell>
        </row>
        <row r="383">
          <cell r="E383" t="str">
            <v>5403</v>
          </cell>
          <cell r="F383">
            <v>25</v>
          </cell>
          <cell r="G383">
            <v>15</v>
          </cell>
          <cell r="H383">
            <v>375</v>
          </cell>
          <cell r="I383" t="str">
            <v>RAISIN</v>
          </cell>
          <cell r="J383" t="str">
            <v>Raisin - Indian</v>
          </cell>
          <cell r="K383" t="str">
            <v>Indian</v>
          </cell>
          <cell r="L383" t="str">
            <v>Raisin</v>
          </cell>
          <cell r="M383" t="str">
            <v>Indian Green Raisins</v>
          </cell>
          <cell r="N383" t="str">
            <v>CFPL</v>
          </cell>
          <cell r="O383" t="str">
            <v>Savla</v>
          </cell>
          <cell r="P383" t="str">
            <v>Bhavesh</v>
          </cell>
          <cell r="Q383">
            <v>364</v>
          </cell>
          <cell r="R383">
            <v>136500</v>
          </cell>
          <cell r="S383">
            <v>18</v>
          </cell>
          <cell r="T383" t="str">
            <v>0-30 Days</v>
          </cell>
          <cell r="U383">
            <v>25</v>
          </cell>
          <cell r="V383" t="str">
            <v>25627000-1 to 25627000-25</v>
          </cell>
        </row>
        <row r="384">
          <cell r="E384" t="str">
            <v>5404</v>
          </cell>
          <cell r="F384">
            <v>24</v>
          </cell>
          <cell r="G384">
            <v>15</v>
          </cell>
          <cell r="H384">
            <v>360</v>
          </cell>
          <cell r="I384" t="str">
            <v>RAISIN</v>
          </cell>
          <cell r="J384" t="str">
            <v>Raisin - Indian</v>
          </cell>
          <cell r="K384" t="str">
            <v>Indian</v>
          </cell>
          <cell r="L384" t="str">
            <v>Raisin</v>
          </cell>
          <cell r="M384" t="str">
            <v>Indian Green Raisins</v>
          </cell>
          <cell r="N384" t="str">
            <v>CFPL</v>
          </cell>
          <cell r="O384" t="str">
            <v>Savla</v>
          </cell>
          <cell r="P384" t="str">
            <v>Bhavesh</v>
          </cell>
          <cell r="Q384">
            <v>364</v>
          </cell>
          <cell r="R384">
            <v>131040</v>
          </cell>
          <cell r="S384">
            <v>18</v>
          </cell>
          <cell r="T384" t="str">
            <v>0-30 Days</v>
          </cell>
          <cell r="U384">
            <v>24</v>
          </cell>
          <cell r="V384" t="str">
            <v>25628000-1 to 25628000-24</v>
          </cell>
        </row>
        <row r="385">
          <cell r="E385" t="str">
            <v>5405</v>
          </cell>
          <cell r="F385">
            <v>44</v>
          </cell>
          <cell r="G385">
            <v>15</v>
          </cell>
          <cell r="H385">
            <v>660</v>
          </cell>
          <cell r="I385" t="str">
            <v>RAISIN</v>
          </cell>
          <cell r="J385" t="str">
            <v>Raisin - Indian</v>
          </cell>
          <cell r="K385" t="str">
            <v>Indian</v>
          </cell>
          <cell r="L385" t="str">
            <v>Raisin</v>
          </cell>
          <cell r="M385" t="str">
            <v>Indian Green Raisins</v>
          </cell>
          <cell r="N385" t="str">
            <v>CFPL</v>
          </cell>
          <cell r="O385" t="str">
            <v>Savla</v>
          </cell>
          <cell r="P385" t="str">
            <v>Bhavesh</v>
          </cell>
          <cell r="Q385">
            <v>364</v>
          </cell>
          <cell r="R385">
            <v>240240</v>
          </cell>
          <cell r="S385">
            <v>18</v>
          </cell>
          <cell r="T385" t="str">
            <v>0-30 Days</v>
          </cell>
          <cell r="U385">
            <v>44</v>
          </cell>
          <cell r="V385" t="str">
            <v>25629000-1 to 25629000-44</v>
          </cell>
        </row>
        <row r="386">
          <cell r="E386" t="str">
            <v>5406</v>
          </cell>
          <cell r="F386">
            <v>70</v>
          </cell>
          <cell r="G386">
            <v>15</v>
          </cell>
          <cell r="H386">
            <v>1050</v>
          </cell>
          <cell r="I386" t="str">
            <v>RAISIN</v>
          </cell>
          <cell r="J386" t="str">
            <v>Raisin - Indian</v>
          </cell>
          <cell r="K386" t="str">
            <v>Indian</v>
          </cell>
          <cell r="L386" t="str">
            <v>Raisin</v>
          </cell>
          <cell r="M386" t="str">
            <v>Indian Green Raisins</v>
          </cell>
          <cell r="N386" t="str">
            <v>CFPL</v>
          </cell>
          <cell r="O386" t="str">
            <v>Savla</v>
          </cell>
          <cell r="P386" t="str">
            <v>Bhavesh</v>
          </cell>
          <cell r="Q386">
            <v>364</v>
          </cell>
          <cell r="R386">
            <v>382200</v>
          </cell>
          <cell r="S386">
            <v>18</v>
          </cell>
          <cell r="T386" t="str">
            <v>0-30 Days</v>
          </cell>
          <cell r="U386">
            <v>70</v>
          </cell>
          <cell r="V386" t="str">
            <v>25630000-1 to 25630000-70</v>
          </cell>
        </row>
        <row r="387">
          <cell r="E387" t="str">
            <v>5407</v>
          </cell>
          <cell r="F387">
            <v>17</v>
          </cell>
          <cell r="G387">
            <v>15</v>
          </cell>
          <cell r="H387">
            <v>255</v>
          </cell>
          <cell r="I387" t="str">
            <v>RAISIN</v>
          </cell>
          <cell r="J387" t="str">
            <v>Raisin - Indian</v>
          </cell>
          <cell r="K387" t="str">
            <v>Indian</v>
          </cell>
          <cell r="L387" t="str">
            <v>Raisin</v>
          </cell>
          <cell r="M387" t="str">
            <v>Indian Green Raisins</v>
          </cell>
          <cell r="N387" t="str">
            <v>CFPL</v>
          </cell>
          <cell r="O387" t="str">
            <v>Savla</v>
          </cell>
          <cell r="P387" t="str">
            <v>Bhavesh</v>
          </cell>
          <cell r="Q387">
            <v>364</v>
          </cell>
          <cell r="R387">
            <v>92820</v>
          </cell>
          <cell r="S387">
            <v>18</v>
          </cell>
          <cell r="T387" t="str">
            <v>0-30 Days</v>
          </cell>
          <cell r="U387">
            <v>17</v>
          </cell>
          <cell r="V387" t="str">
            <v>25631000-1 to 25631000-17</v>
          </cell>
        </row>
        <row r="388">
          <cell r="E388" t="str">
            <v>5408</v>
          </cell>
          <cell r="F388">
            <v>22</v>
          </cell>
          <cell r="G388">
            <v>15</v>
          </cell>
          <cell r="H388">
            <v>330</v>
          </cell>
          <cell r="I388" t="str">
            <v>RAISIN</v>
          </cell>
          <cell r="J388" t="str">
            <v>Raisin - Indian</v>
          </cell>
          <cell r="K388" t="str">
            <v>Indian</v>
          </cell>
          <cell r="L388" t="str">
            <v>Raisin</v>
          </cell>
          <cell r="M388" t="str">
            <v>Indian Green Raisins</v>
          </cell>
          <cell r="N388" t="str">
            <v>CFPL</v>
          </cell>
          <cell r="O388" t="str">
            <v>Savla</v>
          </cell>
          <cell r="P388" t="str">
            <v>Bhavesh</v>
          </cell>
          <cell r="Q388">
            <v>364</v>
          </cell>
          <cell r="R388">
            <v>120120</v>
          </cell>
          <cell r="S388">
            <v>18</v>
          </cell>
          <cell r="T388" t="str">
            <v>0-30 Days</v>
          </cell>
          <cell r="U388">
            <v>22</v>
          </cell>
          <cell r="V388" t="str">
            <v>25632000-1 to 25632000-22</v>
          </cell>
        </row>
        <row r="389">
          <cell r="E389" t="str">
            <v>5409</v>
          </cell>
          <cell r="F389">
            <v>47</v>
          </cell>
          <cell r="G389">
            <v>15</v>
          </cell>
          <cell r="H389">
            <v>705</v>
          </cell>
          <cell r="I389" t="str">
            <v>RAISIN</v>
          </cell>
          <cell r="J389" t="str">
            <v>Raisin - Indian</v>
          </cell>
          <cell r="K389" t="str">
            <v>Indian</v>
          </cell>
          <cell r="L389" t="str">
            <v>Raisin</v>
          </cell>
          <cell r="M389" t="str">
            <v>Indian Green Raisins</v>
          </cell>
          <cell r="N389" t="str">
            <v>CFPL</v>
          </cell>
          <cell r="O389" t="str">
            <v>Savla</v>
          </cell>
          <cell r="P389" t="str">
            <v>Bhavesh</v>
          </cell>
          <cell r="Q389">
            <v>364</v>
          </cell>
          <cell r="R389">
            <v>256620</v>
          </cell>
          <cell r="S389">
            <v>18</v>
          </cell>
          <cell r="T389" t="str">
            <v>0-30 Days</v>
          </cell>
          <cell r="U389">
            <v>47</v>
          </cell>
          <cell r="V389" t="str">
            <v>25633000-1 to 25633000-47</v>
          </cell>
        </row>
        <row r="390">
          <cell r="E390" t="str">
            <v>5410</v>
          </cell>
          <cell r="F390">
            <v>25</v>
          </cell>
          <cell r="G390">
            <v>15</v>
          </cell>
          <cell r="H390">
            <v>375</v>
          </cell>
          <cell r="I390" t="str">
            <v>RAISIN</v>
          </cell>
          <cell r="J390" t="str">
            <v>Raisin - Indian</v>
          </cell>
          <cell r="K390" t="str">
            <v>Indian</v>
          </cell>
          <cell r="L390" t="str">
            <v>Raisin</v>
          </cell>
          <cell r="M390" t="str">
            <v>Indian Green Raisins</v>
          </cell>
          <cell r="N390" t="str">
            <v>CFPL</v>
          </cell>
          <cell r="O390" t="str">
            <v>Savla</v>
          </cell>
          <cell r="P390" t="str">
            <v>Bhavesh</v>
          </cell>
          <cell r="Q390">
            <v>364</v>
          </cell>
          <cell r="R390">
            <v>136500</v>
          </cell>
          <cell r="S390">
            <v>18</v>
          </cell>
          <cell r="T390" t="str">
            <v>0-30 Days</v>
          </cell>
          <cell r="U390">
            <v>25</v>
          </cell>
          <cell r="V390" t="str">
            <v>25634000-1 to 25634000-25</v>
          </cell>
        </row>
        <row r="391">
          <cell r="E391" t="str">
            <v>5411</v>
          </cell>
          <cell r="F391">
            <v>17</v>
          </cell>
          <cell r="G391">
            <v>15</v>
          </cell>
          <cell r="H391">
            <v>255</v>
          </cell>
          <cell r="I391" t="str">
            <v>RAISIN</v>
          </cell>
          <cell r="J391" t="str">
            <v>Raisin - Indian</v>
          </cell>
          <cell r="K391" t="str">
            <v>Indian</v>
          </cell>
          <cell r="L391" t="str">
            <v>Raisin</v>
          </cell>
          <cell r="M391" t="str">
            <v>Indian Green Raisins</v>
          </cell>
          <cell r="N391" t="str">
            <v>CFPL</v>
          </cell>
          <cell r="O391" t="str">
            <v>Savla</v>
          </cell>
          <cell r="P391" t="str">
            <v>Bhavesh</v>
          </cell>
          <cell r="Q391">
            <v>364</v>
          </cell>
          <cell r="R391">
            <v>92820</v>
          </cell>
          <cell r="S391">
            <v>18</v>
          </cell>
          <cell r="T391" t="str">
            <v>0-30 Days</v>
          </cell>
          <cell r="U391">
            <v>17</v>
          </cell>
          <cell r="V391" t="str">
            <v>25635000-1 to 25635000-17</v>
          </cell>
        </row>
        <row r="392">
          <cell r="E392" t="str">
            <v>5412</v>
          </cell>
          <cell r="F392">
            <v>35</v>
          </cell>
          <cell r="G392">
            <v>15</v>
          </cell>
          <cell r="H392">
            <v>525</v>
          </cell>
          <cell r="I392" t="str">
            <v>RAISIN</v>
          </cell>
          <cell r="J392" t="str">
            <v>Raisin - Indian</v>
          </cell>
          <cell r="K392" t="str">
            <v>Indian</v>
          </cell>
          <cell r="L392" t="str">
            <v>Raisin</v>
          </cell>
          <cell r="M392" t="str">
            <v>Indian Green Raisins</v>
          </cell>
          <cell r="N392" t="str">
            <v>CFPL</v>
          </cell>
          <cell r="O392" t="str">
            <v>Savla</v>
          </cell>
          <cell r="P392" t="str">
            <v>Bhavesh</v>
          </cell>
          <cell r="Q392">
            <v>364</v>
          </cell>
          <cell r="R392">
            <v>191100</v>
          </cell>
          <cell r="S392">
            <v>18</v>
          </cell>
          <cell r="T392" t="str">
            <v>0-30 Days</v>
          </cell>
          <cell r="U392">
            <v>35</v>
          </cell>
          <cell r="V392" t="str">
            <v>25636000-1 to 25636000-35</v>
          </cell>
        </row>
        <row r="393">
          <cell r="E393" t="str">
            <v>5413</v>
          </cell>
          <cell r="F393">
            <v>19</v>
          </cell>
          <cell r="G393">
            <v>15</v>
          </cell>
          <cell r="H393">
            <v>285</v>
          </cell>
          <cell r="I393" t="str">
            <v>RAISIN</v>
          </cell>
          <cell r="J393" t="str">
            <v>Raisin - Indian</v>
          </cell>
          <cell r="K393" t="str">
            <v>Indian</v>
          </cell>
          <cell r="L393" t="str">
            <v>Raisin</v>
          </cell>
          <cell r="M393" t="str">
            <v>Indian Green Raisins</v>
          </cell>
          <cell r="N393" t="str">
            <v>CFPL</v>
          </cell>
          <cell r="O393" t="str">
            <v>Savla</v>
          </cell>
          <cell r="P393" t="str">
            <v>Bhavesh</v>
          </cell>
          <cell r="Q393">
            <v>364</v>
          </cell>
          <cell r="R393">
            <v>103740</v>
          </cell>
          <cell r="S393">
            <v>18</v>
          </cell>
          <cell r="T393" t="str">
            <v>0-30 Days</v>
          </cell>
          <cell r="U393">
            <v>19</v>
          </cell>
          <cell r="V393" t="str">
            <v>25637000-1 to 25637000-19</v>
          </cell>
        </row>
        <row r="394">
          <cell r="E394" t="str">
            <v>5414</v>
          </cell>
          <cell r="F394">
            <v>34</v>
          </cell>
          <cell r="G394">
            <v>15</v>
          </cell>
          <cell r="H394">
            <v>510</v>
          </cell>
          <cell r="I394" t="str">
            <v>RAISIN</v>
          </cell>
          <cell r="J394" t="str">
            <v>Raisin - Indian</v>
          </cell>
          <cell r="K394" t="str">
            <v>Indian</v>
          </cell>
          <cell r="L394" t="str">
            <v>Raisin</v>
          </cell>
          <cell r="M394" t="str">
            <v>Indian Green Raisins</v>
          </cell>
          <cell r="N394" t="str">
            <v>CFPL</v>
          </cell>
          <cell r="O394" t="str">
            <v>Savla</v>
          </cell>
          <cell r="P394" t="str">
            <v>Bhavesh</v>
          </cell>
          <cell r="Q394">
            <v>364</v>
          </cell>
          <cell r="R394">
            <v>185640</v>
          </cell>
          <cell r="S394">
            <v>18</v>
          </cell>
          <cell r="T394" t="str">
            <v>0-30 Days</v>
          </cell>
          <cell r="U394">
            <v>34</v>
          </cell>
          <cell r="V394" t="str">
            <v>25638000-1 to 25638000-34</v>
          </cell>
        </row>
        <row r="395">
          <cell r="E395" t="str">
            <v>5415</v>
          </cell>
          <cell r="F395">
            <v>11</v>
          </cell>
          <cell r="G395">
            <v>15</v>
          </cell>
          <cell r="H395">
            <v>165</v>
          </cell>
          <cell r="I395" t="str">
            <v>RAISIN</v>
          </cell>
          <cell r="J395" t="str">
            <v>Raisin - Indian</v>
          </cell>
          <cell r="K395" t="str">
            <v>Indian</v>
          </cell>
          <cell r="L395" t="str">
            <v>Raisin</v>
          </cell>
          <cell r="M395" t="str">
            <v>Indian Green Raisins</v>
          </cell>
          <cell r="N395" t="str">
            <v>CFPL</v>
          </cell>
          <cell r="O395" t="str">
            <v>Savla</v>
          </cell>
          <cell r="P395" t="str">
            <v>Bhavesh</v>
          </cell>
          <cell r="Q395">
            <v>364</v>
          </cell>
          <cell r="R395">
            <v>60060</v>
          </cell>
          <cell r="S395">
            <v>18</v>
          </cell>
          <cell r="T395" t="str">
            <v>0-30 Days</v>
          </cell>
          <cell r="U395">
            <v>11</v>
          </cell>
          <cell r="V395" t="str">
            <v>25639000-1 to 25639000-11</v>
          </cell>
        </row>
        <row r="396">
          <cell r="E396" t="str">
            <v>5416</v>
          </cell>
          <cell r="F396">
            <v>15</v>
          </cell>
          <cell r="G396">
            <v>15</v>
          </cell>
          <cell r="H396">
            <v>225</v>
          </cell>
          <cell r="I396" t="str">
            <v>RAISIN</v>
          </cell>
          <cell r="J396" t="str">
            <v>Raisin - Indian</v>
          </cell>
          <cell r="K396" t="str">
            <v>Indian</v>
          </cell>
          <cell r="L396" t="str">
            <v>Raisin</v>
          </cell>
          <cell r="M396" t="str">
            <v>Indian Green Raisins</v>
          </cell>
          <cell r="N396" t="str">
            <v>CFPL</v>
          </cell>
          <cell r="O396" t="str">
            <v>Savla</v>
          </cell>
          <cell r="P396" t="str">
            <v>Bhavesh</v>
          </cell>
          <cell r="Q396">
            <v>364</v>
          </cell>
          <cell r="R396">
            <v>81900</v>
          </cell>
          <cell r="S396">
            <v>18</v>
          </cell>
          <cell r="T396" t="str">
            <v>0-30 Days</v>
          </cell>
          <cell r="U396">
            <v>15</v>
          </cell>
          <cell r="V396" t="str">
            <v>25640000-1 to 25640000-15</v>
          </cell>
        </row>
        <row r="397">
          <cell r="E397" t="str">
            <v>5417</v>
          </cell>
          <cell r="F397">
            <v>20</v>
          </cell>
          <cell r="G397">
            <v>15</v>
          </cell>
          <cell r="H397">
            <v>300</v>
          </cell>
          <cell r="I397" t="str">
            <v>RAISIN</v>
          </cell>
          <cell r="J397" t="str">
            <v>Raisin - Indian</v>
          </cell>
          <cell r="K397" t="str">
            <v>Indian</v>
          </cell>
          <cell r="L397" t="str">
            <v>Raisin</v>
          </cell>
          <cell r="M397" t="str">
            <v>Indian Green Raisins</v>
          </cell>
          <cell r="N397" t="str">
            <v>CFPL</v>
          </cell>
          <cell r="O397" t="str">
            <v>Savla</v>
          </cell>
          <cell r="P397" t="str">
            <v>Bhavesh</v>
          </cell>
          <cell r="Q397">
            <v>364</v>
          </cell>
          <cell r="R397">
            <v>109200</v>
          </cell>
          <cell r="S397">
            <v>18</v>
          </cell>
          <cell r="T397" t="str">
            <v>0-30 Days</v>
          </cell>
          <cell r="U397">
            <v>20</v>
          </cell>
          <cell r="V397" t="str">
            <v>25641000-1 to 25641000-20</v>
          </cell>
        </row>
        <row r="398">
          <cell r="E398" t="str">
            <v>5418</v>
          </cell>
          <cell r="F398">
            <v>21</v>
          </cell>
          <cell r="G398">
            <v>15</v>
          </cell>
          <cell r="H398">
            <v>315</v>
          </cell>
          <cell r="I398" t="str">
            <v>RAISIN</v>
          </cell>
          <cell r="J398" t="str">
            <v>Raisin - Indian</v>
          </cell>
          <cell r="K398" t="str">
            <v>Indian</v>
          </cell>
          <cell r="L398" t="str">
            <v>Raisin</v>
          </cell>
          <cell r="M398" t="str">
            <v>Indian Green Raisins</v>
          </cell>
          <cell r="N398" t="str">
            <v>CFPL</v>
          </cell>
          <cell r="O398" t="str">
            <v>Savla</v>
          </cell>
          <cell r="P398" t="str">
            <v>Bhavesh</v>
          </cell>
          <cell r="Q398">
            <v>364</v>
          </cell>
          <cell r="R398">
            <v>114660</v>
          </cell>
          <cell r="S398">
            <v>18</v>
          </cell>
          <cell r="T398" t="str">
            <v>0-30 Days</v>
          </cell>
          <cell r="U398">
            <v>21</v>
          </cell>
          <cell r="V398" t="str">
            <v>25642000-1 to 25642000-21</v>
          </cell>
        </row>
        <row r="399">
          <cell r="E399" t="str">
            <v>5419</v>
          </cell>
          <cell r="F399">
            <v>34</v>
          </cell>
          <cell r="G399">
            <v>15</v>
          </cell>
          <cell r="H399">
            <v>510</v>
          </cell>
          <cell r="I399" t="str">
            <v>RAISIN</v>
          </cell>
          <cell r="J399" t="str">
            <v>Raisin - Indian</v>
          </cell>
          <cell r="K399" t="str">
            <v>Indian</v>
          </cell>
          <cell r="L399" t="str">
            <v>Raisin</v>
          </cell>
          <cell r="M399" t="str">
            <v>Indian Green Raisins</v>
          </cell>
          <cell r="N399" t="str">
            <v>CFPL</v>
          </cell>
          <cell r="O399" t="str">
            <v>Savla</v>
          </cell>
          <cell r="P399" t="str">
            <v>Bhavesh</v>
          </cell>
          <cell r="Q399">
            <v>364</v>
          </cell>
          <cell r="R399">
            <v>185640</v>
          </cell>
          <cell r="S399">
            <v>18</v>
          </cell>
          <cell r="T399" t="str">
            <v>0-30 Days</v>
          </cell>
          <cell r="U399">
            <v>34</v>
          </cell>
          <cell r="V399" t="str">
            <v>25643000-1 to 25643000-34</v>
          </cell>
        </row>
        <row r="400">
          <cell r="E400" t="str">
            <v>5420</v>
          </cell>
          <cell r="F400">
            <v>21</v>
          </cell>
          <cell r="G400">
            <v>15</v>
          </cell>
          <cell r="H400">
            <v>315</v>
          </cell>
          <cell r="I400" t="str">
            <v>RAISIN</v>
          </cell>
          <cell r="J400" t="str">
            <v>Raisin - Indian</v>
          </cell>
          <cell r="K400" t="str">
            <v>Indian</v>
          </cell>
          <cell r="L400" t="str">
            <v>Raisin</v>
          </cell>
          <cell r="M400" t="str">
            <v>Indian Green Raisins</v>
          </cell>
          <cell r="N400" t="str">
            <v>CFPL</v>
          </cell>
          <cell r="O400" t="str">
            <v>Savla</v>
          </cell>
          <cell r="P400" t="str">
            <v>Bhavesh</v>
          </cell>
          <cell r="Q400">
            <v>364</v>
          </cell>
          <cell r="R400">
            <v>114660</v>
          </cell>
          <cell r="S400">
            <v>18</v>
          </cell>
          <cell r="T400" t="str">
            <v>0-30 Days</v>
          </cell>
          <cell r="U400">
            <v>21</v>
          </cell>
          <cell r="V400" t="str">
            <v>25644000-1 to 25644000-21</v>
          </cell>
        </row>
        <row r="401">
          <cell r="E401" t="str">
            <v>5547</v>
          </cell>
          <cell r="F401">
            <v>4</v>
          </cell>
          <cell r="G401">
            <v>10</v>
          </cell>
          <cell r="H401">
            <v>40</v>
          </cell>
          <cell r="I401" t="str">
            <v>PREMIUM NUTS</v>
          </cell>
          <cell r="J401" t="str">
            <v>Pecan Nuts</v>
          </cell>
          <cell r="K401" t="str">
            <v>Pecan</v>
          </cell>
          <cell r="L401" t="str">
            <v>Tukda</v>
          </cell>
          <cell r="M401" t="str">
            <v>Pecan Nuts</v>
          </cell>
          <cell r="N401" t="str">
            <v>CFPL</v>
          </cell>
          <cell r="O401" t="str">
            <v>Savla</v>
          </cell>
          <cell r="P401" t="str">
            <v>W202</v>
          </cell>
          <cell r="Q401">
            <v>1380</v>
          </cell>
          <cell r="R401">
            <v>55200</v>
          </cell>
          <cell r="S401">
            <v>16</v>
          </cell>
          <cell r="T401" t="str">
            <v>0-30 Days</v>
          </cell>
          <cell r="U401">
            <v>4</v>
          </cell>
          <cell r="V401" t="str">
            <v>98401000-1 to 98401000-4</v>
          </cell>
        </row>
        <row r="402">
          <cell r="E402" t="str">
            <v>5548</v>
          </cell>
          <cell r="F402">
            <v>1</v>
          </cell>
          <cell r="G402">
            <v>13.6</v>
          </cell>
          <cell r="H402">
            <v>13.6</v>
          </cell>
          <cell r="I402" t="str">
            <v>PREMIUM NUTS</v>
          </cell>
          <cell r="J402" t="str">
            <v>Pecan Nuts</v>
          </cell>
          <cell r="K402" t="str">
            <v>Inshell</v>
          </cell>
          <cell r="L402" t="str">
            <v>Carter W202</v>
          </cell>
          <cell r="M402" t="str">
            <v>Pecans Nuts Inshell</v>
          </cell>
          <cell r="N402" t="str">
            <v>CFPL</v>
          </cell>
          <cell r="O402" t="str">
            <v>Savla</v>
          </cell>
          <cell r="P402" t="str">
            <v>W202</v>
          </cell>
          <cell r="Q402">
            <v>464.5</v>
          </cell>
          <cell r="R402">
            <v>6317.2</v>
          </cell>
          <cell r="S402">
            <v>16</v>
          </cell>
          <cell r="T402" t="str">
            <v>0-30 Days</v>
          </cell>
          <cell r="U402">
            <v>1</v>
          </cell>
          <cell r="V402" t="str">
            <v>98402000-1</v>
          </cell>
        </row>
        <row r="403">
          <cell r="E403" t="str">
            <v>5549</v>
          </cell>
          <cell r="F403">
            <v>3</v>
          </cell>
          <cell r="G403">
            <v>10</v>
          </cell>
          <cell r="H403">
            <v>30</v>
          </cell>
          <cell r="I403" t="str">
            <v>PREMIUM NUTS</v>
          </cell>
          <cell r="J403" t="str">
            <v>Macadamia Nuts</v>
          </cell>
          <cell r="K403" t="str">
            <v>NIS Vanilla</v>
          </cell>
          <cell r="L403" t="str">
            <v>Vannilla W202-F53</v>
          </cell>
          <cell r="M403" t="str">
            <v>Macadamia Vanilla Whole - 320* Cut</v>
          </cell>
          <cell r="N403" t="str">
            <v>CFPL</v>
          </cell>
          <cell r="O403" t="str">
            <v>Savla</v>
          </cell>
          <cell r="P403" t="str">
            <v>W202</v>
          </cell>
          <cell r="Q403">
            <v>625</v>
          </cell>
          <cell r="R403">
            <v>18750</v>
          </cell>
          <cell r="S403">
            <v>16</v>
          </cell>
          <cell r="T403" t="str">
            <v>0-30 Days</v>
          </cell>
          <cell r="U403">
            <v>3</v>
          </cell>
          <cell r="V403" t="str">
            <v>98403000-1 to 98403000-3</v>
          </cell>
        </row>
        <row r="404">
          <cell r="E404" t="str">
            <v>5551</v>
          </cell>
          <cell r="F404">
            <v>1</v>
          </cell>
          <cell r="G404">
            <v>11.34</v>
          </cell>
          <cell r="H404">
            <v>11.34</v>
          </cell>
          <cell r="I404" t="str">
            <v>PREMIUM NUTS</v>
          </cell>
          <cell r="J404" t="str">
            <v>Macadamia Nuts</v>
          </cell>
          <cell r="K404" t="str">
            <v>Roasted Style-1</v>
          </cell>
          <cell r="L404" t="str">
            <v>W202</v>
          </cell>
          <cell r="M404" t="str">
            <v>Macadamia Roasted - Size 1</v>
          </cell>
          <cell r="N404" t="str">
            <v>CFPL</v>
          </cell>
          <cell r="O404" t="str">
            <v>Savla</v>
          </cell>
          <cell r="P404" t="str">
            <v>W202</v>
          </cell>
          <cell r="Q404">
            <v>1820.3</v>
          </cell>
          <cell r="R404">
            <v>20642.2</v>
          </cell>
          <cell r="S404">
            <v>16</v>
          </cell>
          <cell r="T404" t="str">
            <v>0-30 Days</v>
          </cell>
          <cell r="U404">
            <v>1</v>
          </cell>
          <cell r="V404" t="str">
            <v>98405000-1</v>
          </cell>
        </row>
        <row r="405">
          <cell r="E405" t="str">
            <v>5552</v>
          </cell>
          <cell r="F405">
            <v>1</v>
          </cell>
          <cell r="G405">
            <v>11.34</v>
          </cell>
          <cell r="H405">
            <v>11.34</v>
          </cell>
          <cell r="I405" t="str">
            <v>PREMIUM NUTS</v>
          </cell>
          <cell r="J405" t="str">
            <v>Macadamia Nuts</v>
          </cell>
          <cell r="K405" t="str">
            <v>Roasted Style-4</v>
          </cell>
          <cell r="L405" t="str">
            <v>W202</v>
          </cell>
          <cell r="M405" t="str">
            <v>Macadamia Roasted - Size 4</v>
          </cell>
          <cell r="N405" t="str">
            <v>CFPL</v>
          </cell>
          <cell r="O405" t="str">
            <v>Savla</v>
          </cell>
          <cell r="P405" t="str">
            <v>W202</v>
          </cell>
          <cell r="Q405">
            <v>1290</v>
          </cell>
          <cell r="R405">
            <v>14628.6</v>
          </cell>
          <cell r="S405">
            <v>16</v>
          </cell>
          <cell r="T405" t="str">
            <v>0-30 Days</v>
          </cell>
          <cell r="U405">
            <v>1</v>
          </cell>
          <cell r="V405" t="str">
            <v>98406000-1</v>
          </cell>
        </row>
        <row r="406">
          <cell r="E406" t="str">
            <v>5553</v>
          </cell>
          <cell r="F406">
            <v>1</v>
          </cell>
          <cell r="G406">
            <v>11.34</v>
          </cell>
          <cell r="H406">
            <v>11.34</v>
          </cell>
          <cell r="I406" t="str">
            <v>PREMIUM NUTS</v>
          </cell>
          <cell r="J406" t="str">
            <v>Macadamia Nuts</v>
          </cell>
          <cell r="K406" t="str">
            <v>Roasted Style-6</v>
          </cell>
          <cell r="L406" t="str">
            <v>W202</v>
          </cell>
          <cell r="M406" t="str">
            <v>Macadamia Roasted - Size 6</v>
          </cell>
          <cell r="N406" t="str">
            <v>CFPL</v>
          </cell>
          <cell r="O406" t="str">
            <v>Savla</v>
          </cell>
          <cell r="P406" t="str">
            <v>W202</v>
          </cell>
          <cell r="Q406">
            <v>900</v>
          </cell>
          <cell r="R406">
            <v>10206</v>
          </cell>
          <cell r="S406">
            <v>16</v>
          </cell>
          <cell r="T406" t="str">
            <v>0-30 Days</v>
          </cell>
          <cell r="U406">
            <v>1</v>
          </cell>
          <cell r="V406" t="str">
            <v>98407000-1</v>
          </cell>
        </row>
        <row r="407">
          <cell r="E407" t="str">
            <v>7647</v>
          </cell>
          <cell r="F407">
            <v>14</v>
          </cell>
          <cell r="G407">
            <v>10</v>
          </cell>
          <cell r="H407">
            <v>140</v>
          </cell>
          <cell r="I407" t="str">
            <v>RAISIN</v>
          </cell>
          <cell r="J407" t="str">
            <v>Raisin - Indian</v>
          </cell>
          <cell r="K407" t="str">
            <v>Indian</v>
          </cell>
          <cell r="L407" t="str">
            <v>Raisin</v>
          </cell>
          <cell r="M407" t="str">
            <v>indian green raisins</v>
          </cell>
          <cell r="N407" t="str">
            <v>CFPL</v>
          </cell>
          <cell r="O407" t="str">
            <v>Savla</v>
          </cell>
          <cell r="P407" t="str">
            <v>Dev Int</v>
          </cell>
          <cell r="Q407">
            <v>369</v>
          </cell>
          <cell r="R407">
            <v>51660</v>
          </cell>
          <cell r="S407">
            <v>1</v>
          </cell>
          <cell r="T407" t="str">
            <v>0-30 Days</v>
          </cell>
          <cell r="U407">
            <v>1</v>
          </cell>
          <cell r="V407" t="str">
            <v>39422689-1 to 39422689-14</v>
          </cell>
        </row>
        <row r="408">
          <cell r="E408" t="str">
            <v>7648</v>
          </cell>
          <cell r="F408">
            <v>201</v>
          </cell>
          <cell r="G408">
            <v>10</v>
          </cell>
          <cell r="H408">
            <v>2010</v>
          </cell>
          <cell r="I408" t="str">
            <v>RAISIN</v>
          </cell>
          <cell r="J408" t="str">
            <v>Raisin - Indian</v>
          </cell>
          <cell r="K408" t="str">
            <v>Indian</v>
          </cell>
          <cell r="L408" t="str">
            <v>Raisin</v>
          </cell>
          <cell r="M408" t="str">
            <v>indian green raisins</v>
          </cell>
          <cell r="N408" t="str">
            <v>CFPL</v>
          </cell>
          <cell r="O408" t="str">
            <v>Savla</v>
          </cell>
          <cell r="P408" t="str">
            <v>Dev Int</v>
          </cell>
          <cell r="Q408">
            <v>369</v>
          </cell>
          <cell r="R408">
            <v>741690</v>
          </cell>
          <cell r="S408">
            <v>1</v>
          </cell>
          <cell r="T408" t="str">
            <v>0-30 Days</v>
          </cell>
          <cell r="U408">
            <v>1</v>
          </cell>
          <cell r="V408" t="str">
            <v>40911338-1 to 40911338-201</v>
          </cell>
        </row>
        <row r="409">
          <cell r="E409" t="str">
            <v>7649</v>
          </cell>
          <cell r="F409">
            <v>150</v>
          </cell>
          <cell r="G409">
            <v>10</v>
          </cell>
          <cell r="H409">
            <v>1500</v>
          </cell>
          <cell r="I409" t="str">
            <v>RAISIN</v>
          </cell>
          <cell r="J409" t="str">
            <v>Raisin - Indian</v>
          </cell>
          <cell r="K409" t="str">
            <v>Indian</v>
          </cell>
          <cell r="L409" t="str">
            <v>Raisin</v>
          </cell>
          <cell r="M409" t="str">
            <v>indian green raisins</v>
          </cell>
          <cell r="N409" t="str">
            <v>CFPL</v>
          </cell>
          <cell r="O409" t="str">
            <v>Savla</v>
          </cell>
          <cell r="P409" t="str">
            <v>Dev Int</v>
          </cell>
          <cell r="Q409">
            <v>369</v>
          </cell>
          <cell r="R409">
            <v>553500</v>
          </cell>
          <cell r="S409">
            <v>1</v>
          </cell>
          <cell r="T409" t="str">
            <v>0-30 Days</v>
          </cell>
          <cell r="U409">
            <v>1</v>
          </cell>
          <cell r="V409" t="str">
            <v>35661807-1 to 35661807-75; 39658235-1 to 39658235-75</v>
          </cell>
        </row>
        <row r="410">
          <cell r="E410" t="str">
            <v>7650</v>
          </cell>
          <cell r="F410">
            <v>50</v>
          </cell>
          <cell r="G410">
            <v>10</v>
          </cell>
          <cell r="H410">
            <v>500</v>
          </cell>
          <cell r="I410" t="str">
            <v>RAISIN</v>
          </cell>
          <cell r="J410" t="str">
            <v>Raisin - Indian</v>
          </cell>
          <cell r="K410" t="str">
            <v>Indian</v>
          </cell>
          <cell r="L410" t="str">
            <v>Raisin</v>
          </cell>
          <cell r="M410" t="str">
            <v>indian green raisins</v>
          </cell>
          <cell r="N410" t="str">
            <v>CFPL</v>
          </cell>
          <cell r="O410" t="str">
            <v>Savla</v>
          </cell>
          <cell r="P410" t="str">
            <v>Dev Int</v>
          </cell>
          <cell r="Q410">
            <v>369</v>
          </cell>
          <cell r="R410">
            <v>184500</v>
          </cell>
          <cell r="S410">
            <v>1</v>
          </cell>
          <cell r="T410" t="str">
            <v>0-30 Days</v>
          </cell>
          <cell r="U410">
            <v>1</v>
          </cell>
          <cell r="V410" t="str">
            <v>36199646-1 to 36199646-50</v>
          </cell>
        </row>
        <row r="411">
          <cell r="E411" t="str">
            <v>7651</v>
          </cell>
          <cell r="F411">
            <v>70</v>
          </cell>
          <cell r="G411">
            <v>10</v>
          </cell>
          <cell r="H411">
            <v>700</v>
          </cell>
          <cell r="I411" t="str">
            <v>RAISIN</v>
          </cell>
          <cell r="J411" t="str">
            <v>Raisin - Indian</v>
          </cell>
          <cell r="K411" t="str">
            <v>Indian</v>
          </cell>
          <cell r="L411" t="str">
            <v>Raisin</v>
          </cell>
          <cell r="M411" t="str">
            <v>indian green raisins</v>
          </cell>
          <cell r="N411" t="str">
            <v>CFPL</v>
          </cell>
          <cell r="O411" t="str">
            <v>Savla</v>
          </cell>
          <cell r="P411" t="str">
            <v>Dev Int</v>
          </cell>
          <cell r="Q411">
            <v>369</v>
          </cell>
          <cell r="R411">
            <v>258300</v>
          </cell>
          <cell r="S411">
            <v>1</v>
          </cell>
          <cell r="T411" t="str">
            <v>0-30 Days</v>
          </cell>
          <cell r="U411">
            <v>1</v>
          </cell>
          <cell r="V411" t="str">
            <v>33209405-1 to 33209405-70</v>
          </cell>
        </row>
        <row r="412">
          <cell r="E412" t="str">
            <v>7652</v>
          </cell>
          <cell r="F412">
            <v>45</v>
          </cell>
          <cell r="G412">
            <v>10</v>
          </cell>
          <cell r="H412">
            <v>450</v>
          </cell>
          <cell r="I412" t="str">
            <v>RAISIN</v>
          </cell>
          <cell r="J412" t="str">
            <v>Raisin - Indian</v>
          </cell>
          <cell r="K412" t="str">
            <v>Indian</v>
          </cell>
          <cell r="L412" t="str">
            <v>Raisin</v>
          </cell>
          <cell r="M412" t="str">
            <v>indian green raisins</v>
          </cell>
          <cell r="N412" t="str">
            <v>CFPL</v>
          </cell>
          <cell r="O412" t="str">
            <v>Savla</v>
          </cell>
          <cell r="P412" t="str">
            <v>Dev Int</v>
          </cell>
          <cell r="Q412">
            <v>369</v>
          </cell>
          <cell r="R412">
            <v>166050</v>
          </cell>
          <cell r="S412">
            <v>1</v>
          </cell>
          <cell r="T412" t="str">
            <v>0-30 Days</v>
          </cell>
          <cell r="U412">
            <v>1</v>
          </cell>
          <cell r="V412" t="str">
            <v>37769549-1 to 37769549-45</v>
          </cell>
        </row>
        <row r="413">
          <cell r="E413" t="str">
            <v>7653</v>
          </cell>
          <cell r="F413">
            <v>91</v>
          </cell>
          <cell r="G413">
            <v>10</v>
          </cell>
          <cell r="H413">
            <v>910</v>
          </cell>
          <cell r="I413" t="str">
            <v>RAISIN</v>
          </cell>
          <cell r="J413" t="str">
            <v>Raisin - Indian</v>
          </cell>
          <cell r="K413" t="str">
            <v>Indian</v>
          </cell>
          <cell r="L413" t="str">
            <v>Raisin</v>
          </cell>
          <cell r="M413" t="str">
            <v>indian green raisins</v>
          </cell>
          <cell r="N413" t="str">
            <v>CFPL</v>
          </cell>
          <cell r="O413" t="str">
            <v>Savla</v>
          </cell>
          <cell r="P413" t="str">
            <v>Dev Int</v>
          </cell>
          <cell r="Q413">
            <v>369</v>
          </cell>
          <cell r="R413">
            <v>335790</v>
          </cell>
          <cell r="S413">
            <v>1</v>
          </cell>
          <cell r="T413" t="str">
            <v>0-30 Days</v>
          </cell>
          <cell r="U413">
            <v>1</v>
          </cell>
          <cell r="V413" t="str">
            <v>30918272-1 to 30918272-91</v>
          </cell>
        </row>
        <row r="414">
          <cell r="E414" t="str">
            <v>10570</v>
          </cell>
          <cell r="F414">
            <v>10</v>
          </cell>
          <cell r="G414">
            <v>5</v>
          </cell>
          <cell r="H414">
            <v>50</v>
          </cell>
          <cell r="I414" t="str">
            <v>DATES</v>
          </cell>
          <cell r="J414" t="str">
            <v>Medjoul-Large</v>
          </cell>
          <cell r="K414" t="str">
            <v>Medjoul-Large HM</v>
          </cell>
          <cell r="L414" t="str">
            <v>HOH</v>
          </cell>
          <cell r="M414" t="str">
            <v>Medjoul Dates Large</v>
          </cell>
          <cell r="N414" t="str">
            <v>CFPL</v>
          </cell>
          <cell r="O414" t="str">
            <v>Savla</v>
          </cell>
          <cell r="P414" t="str">
            <v>Hadiklaim</v>
          </cell>
          <cell r="Q414">
            <v>860</v>
          </cell>
          <cell r="R414">
            <v>43000</v>
          </cell>
          <cell r="S414">
            <v>169</v>
          </cell>
          <cell r="T414" t="str">
            <v>91-180 Days</v>
          </cell>
          <cell r="U414">
            <v>10</v>
          </cell>
          <cell r="V414" t="str">
            <v>90557000-1 to 90557000-10</v>
          </cell>
        </row>
        <row r="415">
          <cell r="E415" t="str">
            <v>10570</v>
          </cell>
          <cell r="F415">
            <v>50</v>
          </cell>
          <cell r="G415">
            <v>5</v>
          </cell>
          <cell r="H415">
            <v>250</v>
          </cell>
          <cell r="I415" t="str">
            <v>DATES</v>
          </cell>
          <cell r="J415" t="str">
            <v>Medjoul-Large</v>
          </cell>
          <cell r="K415" t="str">
            <v>Medjoul-Large HM</v>
          </cell>
          <cell r="L415" t="str">
            <v>HOH</v>
          </cell>
          <cell r="M415" t="str">
            <v>Medjoul Dates Large</v>
          </cell>
          <cell r="N415" t="str">
            <v>CFPL</v>
          </cell>
          <cell r="O415" t="str">
            <v>Savla</v>
          </cell>
          <cell r="P415" t="str">
            <v>Hadiklaim</v>
          </cell>
          <cell r="Q415">
            <v>860</v>
          </cell>
          <cell r="R415">
            <v>215000</v>
          </cell>
          <cell r="S415">
            <v>117</v>
          </cell>
          <cell r="T415" t="str">
            <v>91-180 Days</v>
          </cell>
          <cell r="U415">
            <v>50</v>
          </cell>
          <cell r="V415" t="str">
            <v>90582000-1 to 90582000-50</v>
          </cell>
        </row>
        <row r="416">
          <cell r="E416" t="str">
            <v>10665</v>
          </cell>
          <cell r="F416">
            <v>2</v>
          </cell>
          <cell r="G416">
            <v>10</v>
          </cell>
          <cell r="H416">
            <v>20</v>
          </cell>
          <cell r="I416" t="str">
            <v>PREMIUM NUTS</v>
          </cell>
          <cell r="J416" t="str">
            <v>Macadamia Nuts</v>
          </cell>
          <cell r="K416" t="str">
            <v>Roasted Style-6</v>
          </cell>
          <cell r="L416" t="str">
            <v>W-202</v>
          </cell>
          <cell r="M416" t="str">
            <v>Macadamia Roasted - Size 6</v>
          </cell>
          <cell r="N416" t="str">
            <v>CFPL</v>
          </cell>
          <cell r="O416" t="str">
            <v>Savla</v>
          </cell>
          <cell r="P416" t="str">
            <v>0</v>
          </cell>
          <cell r="Q416">
            <v>900</v>
          </cell>
          <cell r="R416">
            <v>18000</v>
          </cell>
          <cell r="S416">
            <v>166</v>
          </cell>
          <cell r="T416" t="str">
            <v>91-180 Days</v>
          </cell>
          <cell r="U416">
            <v>2</v>
          </cell>
          <cell r="V416" t="str">
            <v>90558000-1 to 90558000-2</v>
          </cell>
        </row>
        <row r="417">
          <cell r="E417" t="str">
            <v>11204</v>
          </cell>
          <cell r="F417">
            <v>123</v>
          </cell>
          <cell r="G417">
            <v>16</v>
          </cell>
          <cell r="H417">
            <v>1968</v>
          </cell>
          <cell r="I417" t="str">
            <v>RAISIN</v>
          </cell>
          <cell r="J417" t="str">
            <v>Raisin - Black</v>
          </cell>
          <cell r="K417" t="str">
            <v>Seedless 1*2</v>
          </cell>
          <cell r="L417" t="str">
            <v>Black</v>
          </cell>
          <cell r="M417" t="str">
            <v>Afghan Black Raisins Seedless 1*2</v>
          </cell>
          <cell r="N417" t="str">
            <v>CFPL</v>
          </cell>
          <cell r="O417" t="str">
            <v>Savla</v>
          </cell>
          <cell r="P417" t="str">
            <v>0</v>
          </cell>
          <cell r="Q417">
            <v>370</v>
          </cell>
          <cell r="R417">
            <v>728160</v>
          </cell>
          <cell r="S417">
            <v>155</v>
          </cell>
          <cell r="T417" t="str">
            <v>91-180 Days</v>
          </cell>
          <cell r="U417">
            <v>123</v>
          </cell>
          <cell r="V417" t="str">
            <v>90559000-68 to 90559000-190</v>
          </cell>
        </row>
        <row r="418">
          <cell r="E418" t="str">
            <v>11992</v>
          </cell>
          <cell r="F418">
            <v>3</v>
          </cell>
          <cell r="G418">
            <v>7</v>
          </cell>
          <cell r="H418">
            <v>21</v>
          </cell>
          <cell r="I418" t="str">
            <v>DATES</v>
          </cell>
          <cell r="J418" t="str">
            <v>Medjoul-Bon Bon</v>
          </cell>
          <cell r="K418" t="str">
            <v>Medjoul-Bon Bon</v>
          </cell>
          <cell r="L418" t="str">
            <v>Bon Bon</v>
          </cell>
          <cell r="M418" t="str">
            <v>Medjoul Dates Premium Bon Bon</v>
          </cell>
          <cell r="N418" t="str">
            <v>CFPL</v>
          </cell>
          <cell r="O418" t="str">
            <v>Savla</v>
          </cell>
          <cell r="P418" t="str">
            <v>Hadiklaim</v>
          </cell>
          <cell r="Q418">
            <v>1425</v>
          </cell>
          <cell r="R418">
            <v>29925</v>
          </cell>
          <cell r="S418">
            <v>135</v>
          </cell>
          <cell r="T418" t="str">
            <v>91-180 Days</v>
          </cell>
          <cell r="U418">
            <v>3</v>
          </cell>
          <cell r="V418" t="str">
            <v>90562000-1 to 90562000-3</v>
          </cell>
        </row>
        <row r="419">
          <cell r="E419" t="str">
            <v>13659</v>
          </cell>
          <cell r="F419">
            <v>221</v>
          </cell>
          <cell r="G419">
            <v>5</v>
          </cell>
          <cell r="H419">
            <v>1105</v>
          </cell>
          <cell r="I419" t="str">
            <v>DATES</v>
          </cell>
          <cell r="J419" t="str">
            <v>Medjoul-Medium</v>
          </cell>
          <cell r="K419" t="str">
            <v>Medjoul-Medium Local</v>
          </cell>
          <cell r="L419" t="str">
            <v>Premium Harvest</v>
          </cell>
          <cell r="M419" t="str">
            <v>Medjoul Dates Medium</v>
          </cell>
          <cell r="N419" t="str">
            <v>CFPL</v>
          </cell>
          <cell r="O419" t="str">
            <v>Savla</v>
          </cell>
          <cell r="P419" t="str">
            <v>Local</v>
          </cell>
          <cell r="Q419">
            <v>681</v>
          </cell>
          <cell r="R419">
            <v>752505</v>
          </cell>
          <cell r="S419">
            <v>92</v>
          </cell>
          <cell r="T419" t="str">
            <v>91-180 Days</v>
          </cell>
          <cell r="U419">
            <v>221</v>
          </cell>
          <cell r="V419" t="str">
            <v>90625000-1 to 90625000-221</v>
          </cell>
        </row>
        <row r="420">
          <cell r="E420" t="str">
            <v>13786</v>
          </cell>
          <cell r="F420">
            <v>1</v>
          </cell>
          <cell r="G420">
            <v>5</v>
          </cell>
          <cell r="H420">
            <v>5</v>
          </cell>
          <cell r="I420" t="str">
            <v>DATES</v>
          </cell>
          <cell r="J420" t="str">
            <v>Medjoul-Large</v>
          </cell>
          <cell r="K420" t="str">
            <v>Org Medjoul-Lar</v>
          </cell>
          <cell r="L420" t="str">
            <v>W202</v>
          </cell>
          <cell r="M420" t="str">
            <v>Aldaka Medjool Premium Large</v>
          </cell>
          <cell r="N420" t="str">
            <v>CFPL</v>
          </cell>
          <cell r="O420" t="str">
            <v>Savla</v>
          </cell>
          <cell r="P420" t="str">
            <v>NAKHEEL</v>
          </cell>
          <cell r="Q420">
            <v>900.77</v>
          </cell>
          <cell r="R420">
            <v>4503.8500000000004</v>
          </cell>
          <cell r="S420">
            <v>87</v>
          </cell>
          <cell r="T420" t="str">
            <v>61-90 Days</v>
          </cell>
          <cell r="U420">
            <v>1</v>
          </cell>
          <cell r="V420" t="str">
            <v>90659000-1</v>
          </cell>
        </row>
        <row r="421">
          <cell r="E421" t="str">
            <v>13787</v>
          </cell>
          <cell r="F421">
            <v>1</v>
          </cell>
          <cell r="G421">
            <v>5</v>
          </cell>
          <cell r="H421">
            <v>5</v>
          </cell>
          <cell r="I421" t="str">
            <v>DATES</v>
          </cell>
          <cell r="J421" t="str">
            <v>Medjoul-Jumbo</v>
          </cell>
          <cell r="K421" t="str">
            <v>Org Medjoul-Jumbo</v>
          </cell>
          <cell r="L421" t="str">
            <v>W202</v>
          </cell>
          <cell r="M421" t="str">
            <v>Aldaka Medjool Premium Jumbo</v>
          </cell>
          <cell r="N421" t="str">
            <v>CFPL</v>
          </cell>
          <cell r="O421" t="str">
            <v>Savla</v>
          </cell>
          <cell r="P421" t="str">
            <v>NAKHEEL</v>
          </cell>
          <cell r="Q421">
            <v>1089.42</v>
          </cell>
          <cell r="R421">
            <v>5447.1</v>
          </cell>
          <cell r="S421">
            <v>87</v>
          </cell>
          <cell r="T421" t="str">
            <v>61-90 Days</v>
          </cell>
          <cell r="U421">
            <v>1</v>
          </cell>
          <cell r="V421" t="str">
            <v>64001000-1</v>
          </cell>
        </row>
        <row r="422">
          <cell r="E422" t="str">
            <v>13789</v>
          </cell>
          <cell r="F422">
            <v>1</v>
          </cell>
          <cell r="G422">
            <v>5</v>
          </cell>
          <cell r="H422">
            <v>5</v>
          </cell>
          <cell r="I422" t="str">
            <v>DATES</v>
          </cell>
          <cell r="J422" t="str">
            <v>Khidri</v>
          </cell>
          <cell r="K422" t="str">
            <v>Org Khidri-Med</v>
          </cell>
          <cell r="L422" t="str">
            <v>W202</v>
          </cell>
          <cell r="M422" t="str">
            <v>Organic Khidri Premium Medium</v>
          </cell>
          <cell r="N422" t="str">
            <v>CFPL</v>
          </cell>
          <cell r="O422" t="str">
            <v>Savla</v>
          </cell>
          <cell r="P422" t="str">
            <v>NAKHEEL</v>
          </cell>
          <cell r="Q422">
            <v>403</v>
          </cell>
          <cell r="R422">
            <v>2015</v>
          </cell>
          <cell r="S422">
            <v>87</v>
          </cell>
          <cell r="T422" t="str">
            <v>61-90 Days</v>
          </cell>
          <cell r="U422">
            <v>1</v>
          </cell>
          <cell r="V422" t="str">
            <v>90648000-1</v>
          </cell>
        </row>
        <row r="423">
          <cell r="E423" t="str">
            <v>13790</v>
          </cell>
          <cell r="F423">
            <v>1</v>
          </cell>
          <cell r="G423">
            <v>5</v>
          </cell>
          <cell r="H423">
            <v>5</v>
          </cell>
          <cell r="I423" t="str">
            <v>DATES</v>
          </cell>
          <cell r="J423" t="str">
            <v>Khidri</v>
          </cell>
          <cell r="K423" t="str">
            <v>Org Khidri-Jumbo</v>
          </cell>
          <cell r="L423" t="str">
            <v>W202</v>
          </cell>
          <cell r="M423" t="str">
            <v>Organic Khidri Special Jumbo</v>
          </cell>
          <cell r="N423" t="str">
            <v>CFPL</v>
          </cell>
          <cell r="O423" t="str">
            <v>Savla</v>
          </cell>
          <cell r="P423" t="str">
            <v>NAKHEEL</v>
          </cell>
          <cell r="Q423">
            <v>732</v>
          </cell>
          <cell r="R423">
            <v>3660</v>
          </cell>
          <cell r="S423">
            <v>87</v>
          </cell>
          <cell r="T423" t="str">
            <v>61-90 Days</v>
          </cell>
          <cell r="U423">
            <v>1</v>
          </cell>
          <cell r="V423" t="str">
            <v>90649000-1</v>
          </cell>
        </row>
        <row r="424">
          <cell r="E424" t="str">
            <v>13791</v>
          </cell>
          <cell r="F424">
            <v>1</v>
          </cell>
          <cell r="G424">
            <v>5</v>
          </cell>
          <cell r="H424">
            <v>5</v>
          </cell>
          <cell r="I424" t="str">
            <v>DATES</v>
          </cell>
          <cell r="J424" t="str">
            <v>Wanan</v>
          </cell>
          <cell r="K424" t="str">
            <v>Org Wanan-Large</v>
          </cell>
          <cell r="L424" t="str">
            <v>W202</v>
          </cell>
          <cell r="M424" t="str">
            <v>Organic Wanan Premium Large</v>
          </cell>
          <cell r="N424" t="str">
            <v>CFPL</v>
          </cell>
          <cell r="O424" t="str">
            <v>Savla</v>
          </cell>
          <cell r="P424" t="str">
            <v>NAKHEEL</v>
          </cell>
          <cell r="Q424">
            <v>635</v>
          </cell>
          <cell r="R424">
            <v>3175</v>
          </cell>
          <cell r="S424">
            <v>87</v>
          </cell>
          <cell r="T424" t="str">
            <v>61-90 Days</v>
          </cell>
          <cell r="U424">
            <v>1</v>
          </cell>
          <cell r="V424" t="str">
            <v>90650000-1</v>
          </cell>
        </row>
        <row r="425">
          <cell r="E425" t="str">
            <v>13792</v>
          </cell>
          <cell r="F425">
            <v>1</v>
          </cell>
          <cell r="G425">
            <v>5</v>
          </cell>
          <cell r="H425">
            <v>5</v>
          </cell>
          <cell r="I425" t="str">
            <v>DATES</v>
          </cell>
          <cell r="J425" t="str">
            <v>Wanan</v>
          </cell>
          <cell r="K425" t="str">
            <v>Org Wanan-Jumbo</v>
          </cell>
          <cell r="L425" t="str">
            <v>W202</v>
          </cell>
          <cell r="M425" t="str">
            <v>Organic Wanan Premium Jumbo</v>
          </cell>
          <cell r="N425" t="str">
            <v>CFPL</v>
          </cell>
          <cell r="O425" t="str">
            <v>Savla</v>
          </cell>
          <cell r="P425" t="str">
            <v>NAKHEEL</v>
          </cell>
          <cell r="Q425">
            <v>845</v>
          </cell>
          <cell r="R425">
            <v>4225</v>
          </cell>
          <cell r="S425">
            <v>87</v>
          </cell>
          <cell r="T425" t="str">
            <v>61-90 Days</v>
          </cell>
          <cell r="U425">
            <v>1</v>
          </cell>
          <cell r="V425" t="str">
            <v>90651000-1</v>
          </cell>
        </row>
        <row r="426">
          <cell r="E426" t="str">
            <v>13793</v>
          </cell>
          <cell r="F426">
            <v>1</v>
          </cell>
          <cell r="G426">
            <v>5</v>
          </cell>
          <cell r="H426">
            <v>5</v>
          </cell>
          <cell r="I426" t="str">
            <v>DATES</v>
          </cell>
          <cell r="J426" t="str">
            <v>Seqee</v>
          </cell>
          <cell r="K426" t="str">
            <v>Org Seqee-Large</v>
          </cell>
          <cell r="L426" t="str">
            <v>W202</v>
          </cell>
          <cell r="M426" t="str">
            <v>Organic Seqee Premium Large</v>
          </cell>
          <cell r="N426" t="str">
            <v>CFPL</v>
          </cell>
          <cell r="O426" t="str">
            <v>Savla</v>
          </cell>
          <cell r="P426" t="str">
            <v>NAKHEEL</v>
          </cell>
          <cell r="Q426">
            <v>565</v>
          </cell>
          <cell r="R426">
            <v>2825</v>
          </cell>
          <cell r="S426">
            <v>87</v>
          </cell>
          <cell r="T426" t="str">
            <v>61-90 Days</v>
          </cell>
          <cell r="U426">
            <v>1</v>
          </cell>
          <cell r="V426" t="str">
            <v>90652000-1</v>
          </cell>
        </row>
        <row r="427">
          <cell r="E427" t="str">
            <v>14226</v>
          </cell>
          <cell r="F427">
            <v>3</v>
          </cell>
          <cell r="G427">
            <v>5</v>
          </cell>
          <cell r="H427">
            <v>15</v>
          </cell>
          <cell r="I427" t="str">
            <v>DATES</v>
          </cell>
          <cell r="J427" t="str">
            <v>Medjoul-Medium</v>
          </cell>
          <cell r="K427" t="str">
            <v>Medjoul-Medium</v>
          </cell>
          <cell r="L427" t="str">
            <v>Medium</v>
          </cell>
          <cell r="M427" t="str">
            <v>Medjoul Dates Medium</v>
          </cell>
          <cell r="N427" t="str">
            <v>CFPL</v>
          </cell>
          <cell r="O427" t="str">
            <v>Savla</v>
          </cell>
          <cell r="P427" t="str">
            <v>Hadiklaim</v>
          </cell>
          <cell r="Q427">
            <v>753.28</v>
          </cell>
          <cell r="R427">
            <v>11299.2</v>
          </cell>
          <cell r="S427">
            <v>75</v>
          </cell>
          <cell r="T427" t="str">
            <v>61-90 Days</v>
          </cell>
          <cell r="U427">
            <v>3</v>
          </cell>
          <cell r="V427" t="str">
            <v>90666000-119 to 90666000-121</v>
          </cell>
        </row>
        <row r="428">
          <cell r="E428" t="str">
            <v>14726</v>
          </cell>
          <cell r="F428">
            <v>97</v>
          </cell>
          <cell r="G428">
            <v>5</v>
          </cell>
          <cell r="H428">
            <v>485</v>
          </cell>
          <cell r="I428" t="str">
            <v>DATES</v>
          </cell>
          <cell r="J428" t="str">
            <v>OFF-GRADE DATES</v>
          </cell>
          <cell r="K428" t="str">
            <v>Medjoul-Rej</v>
          </cell>
          <cell r="L428" t="str">
            <v>Large No-2</v>
          </cell>
          <cell r="M428" t="str">
            <v>Off-Grade Dates</v>
          </cell>
          <cell r="N428" t="str">
            <v>CFPL</v>
          </cell>
          <cell r="O428" t="str">
            <v>Savla</v>
          </cell>
          <cell r="P428" t="str">
            <v>W202</v>
          </cell>
          <cell r="Q428">
            <v>200</v>
          </cell>
          <cell r="R428">
            <v>97000</v>
          </cell>
          <cell r="S428">
            <v>59</v>
          </cell>
          <cell r="T428" t="str">
            <v>31-60 Days</v>
          </cell>
          <cell r="U428">
            <v>97</v>
          </cell>
          <cell r="V428" t="str">
            <v>83202000-1 to 83202000-97</v>
          </cell>
        </row>
        <row r="429">
          <cell r="E429" t="str">
            <v>14727</v>
          </cell>
          <cell r="F429">
            <v>47</v>
          </cell>
          <cell r="G429">
            <v>5</v>
          </cell>
          <cell r="H429">
            <v>235</v>
          </cell>
          <cell r="I429" t="str">
            <v>DATES</v>
          </cell>
          <cell r="J429" t="str">
            <v>Medjoul-Large</v>
          </cell>
          <cell r="K429" t="str">
            <v>Medjoul-Large HM</v>
          </cell>
          <cell r="L429" t="str">
            <v>High Moisture</v>
          </cell>
          <cell r="M429" t="str">
            <v>Medjoul Dates Large</v>
          </cell>
          <cell r="N429" t="str">
            <v>CFPL</v>
          </cell>
          <cell r="O429" t="str">
            <v>Savla</v>
          </cell>
          <cell r="P429" t="str">
            <v>Hadiklaim</v>
          </cell>
          <cell r="Q429">
            <v>860</v>
          </cell>
          <cell r="R429">
            <v>202100</v>
          </cell>
          <cell r="S429">
            <v>59</v>
          </cell>
          <cell r="T429" t="str">
            <v>31-60 Days</v>
          </cell>
          <cell r="U429">
            <v>47</v>
          </cell>
          <cell r="V429" t="str">
            <v>83203000-1 to 83203000-47</v>
          </cell>
        </row>
        <row r="430">
          <cell r="E430" t="str">
            <v>15192</v>
          </cell>
          <cell r="F430">
            <v>30</v>
          </cell>
          <cell r="G430">
            <v>10</v>
          </cell>
          <cell r="H430">
            <v>300</v>
          </cell>
          <cell r="I430" t="str">
            <v>WALNUT</v>
          </cell>
          <cell r="J430" t="str">
            <v>Walnut - Kernel</v>
          </cell>
          <cell r="K430" t="str">
            <v>Kernels 2pc 250gm</v>
          </cell>
          <cell r="L430" t="str">
            <v>250gm</v>
          </cell>
          <cell r="M430" t="str">
            <v>California Walnut Kernels 2pc</v>
          </cell>
          <cell r="N430" t="str">
            <v>CFPL</v>
          </cell>
          <cell r="O430" t="str">
            <v>Savla</v>
          </cell>
          <cell r="P430" t="str">
            <v>0</v>
          </cell>
          <cell r="Q430">
            <v>1000</v>
          </cell>
          <cell r="R430">
            <v>300000</v>
          </cell>
          <cell r="S430">
            <v>50</v>
          </cell>
          <cell r="T430" t="str">
            <v>31-60 Days</v>
          </cell>
          <cell r="U430">
            <v>30</v>
          </cell>
          <cell r="V430" t="str">
            <v>60801000-1 to 60801000-30</v>
          </cell>
        </row>
        <row r="431">
          <cell r="E431" t="str">
            <v>15231</v>
          </cell>
          <cell r="F431">
            <v>28</v>
          </cell>
          <cell r="G431">
            <v>6</v>
          </cell>
          <cell r="H431">
            <v>168</v>
          </cell>
          <cell r="I431" t="str">
            <v>PREMIUM NUTS</v>
          </cell>
          <cell r="J431" t="str">
            <v>Macadamia Nuts</v>
          </cell>
          <cell r="K431" t="str">
            <v>Paste-2Kg Tub</v>
          </cell>
          <cell r="L431" t="str">
            <v>Paste</v>
          </cell>
          <cell r="M431" t="str">
            <v>Macadamia Paste</v>
          </cell>
          <cell r="N431" t="str">
            <v>CFPL</v>
          </cell>
          <cell r="O431" t="str">
            <v>Savla</v>
          </cell>
          <cell r="P431" t="str">
            <v>Hadiklaim</v>
          </cell>
          <cell r="Q431">
            <v>1721</v>
          </cell>
          <cell r="R431">
            <v>289128</v>
          </cell>
          <cell r="S431">
            <v>47</v>
          </cell>
          <cell r="T431" t="str">
            <v>31-60 Days</v>
          </cell>
          <cell r="U431">
            <v>28</v>
          </cell>
          <cell r="V431" t="str">
            <v>20001000-1 to 20001000-28</v>
          </cell>
        </row>
        <row r="432">
          <cell r="E432" t="str">
            <v>15701</v>
          </cell>
          <cell r="F432">
            <v>9</v>
          </cell>
          <cell r="G432">
            <v>5</v>
          </cell>
          <cell r="H432">
            <v>45</v>
          </cell>
          <cell r="I432" t="str">
            <v>DATES</v>
          </cell>
          <cell r="J432" t="str">
            <v>Medjoul-Super Jumbo</v>
          </cell>
          <cell r="K432" t="str">
            <v>Medjoul-Sup.Jumbo</v>
          </cell>
          <cell r="L432" t="str">
            <v>S.JUMBO</v>
          </cell>
          <cell r="M432" t="str">
            <v>Medjoul Dates Super Jumbo</v>
          </cell>
          <cell r="N432" t="str">
            <v>CFPL</v>
          </cell>
          <cell r="O432" t="str">
            <v>Savla</v>
          </cell>
          <cell r="P432" t="str">
            <v>Hadiklaim</v>
          </cell>
          <cell r="Q432">
            <v>1152</v>
          </cell>
          <cell r="R432">
            <v>51840</v>
          </cell>
          <cell r="S432">
            <v>34</v>
          </cell>
          <cell r="T432" t="str">
            <v>31-60 Days</v>
          </cell>
          <cell r="U432">
            <v>9</v>
          </cell>
          <cell r="V432" t="str">
            <v>43201000-1 to 43201000-9</v>
          </cell>
        </row>
        <row r="433">
          <cell r="E433" t="str">
            <v>15703</v>
          </cell>
          <cell r="F433">
            <v>210</v>
          </cell>
          <cell r="G433">
            <v>5</v>
          </cell>
          <cell r="H433">
            <v>1050</v>
          </cell>
          <cell r="I433" t="str">
            <v>DATES</v>
          </cell>
          <cell r="J433" t="str">
            <v>Medjoul-Jumbo</v>
          </cell>
          <cell r="K433" t="str">
            <v>Medjoul-Jumbo</v>
          </cell>
          <cell r="L433" t="str">
            <v>Jumbo</v>
          </cell>
          <cell r="M433" t="str">
            <v>MEDJOUL DATES JUMBO</v>
          </cell>
          <cell r="N433" t="str">
            <v>CFPL</v>
          </cell>
          <cell r="O433" t="str">
            <v>Savla</v>
          </cell>
          <cell r="P433" t="str">
            <v>Hadiklaim</v>
          </cell>
          <cell r="Q433">
            <v>1057</v>
          </cell>
          <cell r="R433">
            <v>1109850</v>
          </cell>
          <cell r="S433">
            <v>34</v>
          </cell>
          <cell r="T433" t="str">
            <v>31-60 Days</v>
          </cell>
          <cell r="U433">
            <v>210</v>
          </cell>
          <cell r="V433" t="str">
            <v>43202000-1 to 43202000-210</v>
          </cell>
        </row>
        <row r="434">
          <cell r="E434" t="str">
            <v>15704</v>
          </cell>
          <cell r="F434">
            <v>210</v>
          </cell>
          <cell r="G434">
            <v>5</v>
          </cell>
          <cell r="H434">
            <v>1050</v>
          </cell>
          <cell r="I434" t="str">
            <v>DATES</v>
          </cell>
          <cell r="J434" t="str">
            <v>Medjoul-Jumbo</v>
          </cell>
          <cell r="K434" t="str">
            <v>Medjoul-Jumbo</v>
          </cell>
          <cell r="L434" t="str">
            <v>Jumbo</v>
          </cell>
          <cell r="M434" t="str">
            <v>MEDJOUL DATES JUMBO</v>
          </cell>
          <cell r="N434" t="str">
            <v>CFPL</v>
          </cell>
          <cell r="O434" t="str">
            <v>Savla</v>
          </cell>
          <cell r="P434" t="str">
            <v>Hadiklaim</v>
          </cell>
          <cell r="Q434">
            <v>1057</v>
          </cell>
          <cell r="R434">
            <v>1109850</v>
          </cell>
          <cell r="S434">
            <v>34</v>
          </cell>
          <cell r="T434" t="str">
            <v>31-60 Days</v>
          </cell>
          <cell r="U434">
            <v>210</v>
          </cell>
          <cell r="V434" t="str">
            <v>43203000-1 to 43203000-210</v>
          </cell>
        </row>
        <row r="435">
          <cell r="E435" t="str">
            <v>15705</v>
          </cell>
          <cell r="F435">
            <v>10</v>
          </cell>
          <cell r="G435">
            <v>5</v>
          </cell>
          <cell r="H435">
            <v>50</v>
          </cell>
          <cell r="I435" t="str">
            <v>DATES</v>
          </cell>
          <cell r="J435" t="str">
            <v>Medjoul-Jumbo</v>
          </cell>
          <cell r="K435" t="str">
            <v>Medjoul-Jumbo</v>
          </cell>
          <cell r="L435" t="str">
            <v>Jumbo</v>
          </cell>
          <cell r="M435" t="str">
            <v>MEDJOUL DATES JUMBO</v>
          </cell>
          <cell r="N435" t="str">
            <v>CFPL</v>
          </cell>
          <cell r="O435" t="str">
            <v>Savla</v>
          </cell>
          <cell r="P435" t="str">
            <v>Hadiklaim</v>
          </cell>
          <cell r="Q435">
            <v>1057</v>
          </cell>
          <cell r="R435">
            <v>52850</v>
          </cell>
          <cell r="S435">
            <v>34</v>
          </cell>
          <cell r="T435" t="str">
            <v>31-60 Days</v>
          </cell>
          <cell r="U435">
            <v>10</v>
          </cell>
          <cell r="V435" t="str">
            <v>43204000-201 to 43204000-210</v>
          </cell>
        </row>
        <row r="436">
          <cell r="E436" t="str">
            <v>15706</v>
          </cell>
          <cell r="F436">
            <v>210</v>
          </cell>
          <cell r="G436">
            <v>5</v>
          </cell>
          <cell r="H436">
            <v>1050</v>
          </cell>
          <cell r="I436" t="str">
            <v>DATES</v>
          </cell>
          <cell r="J436" t="str">
            <v>Medjoul-Large</v>
          </cell>
          <cell r="K436" t="str">
            <v>Medjoul-Large</v>
          </cell>
          <cell r="L436" t="str">
            <v>Large</v>
          </cell>
          <cell r="M436" t="str">
            <v>Medjoul Dates Large</v>
          </cell>
          <cell r="N436" t="str">
            <v>CFPL</v>
          </cell>
          <cell r="O436" t="str">
            <v>Savla</v>
          </cell>
          <cell r="P436" t="str">
            <v>Hadiklaim</v>
          </cell>
          <cell r="Q436">
            <v>871.2</v>
          </cell>
          <cell r="R436">
            <v>914760</v>
          </cell>
          <cell r="S436">
            <v>34</v>
          </cell>
          <cell r="T436" t="str">
            <v>31-60 Days</v>
          </cell>
          <cell r="U436">
            <v>210</v>
          </cell>
          <cell r="V436" t="str">
            <v>43205000-1 to 43205000-210</v>
          </cell>
        </row>
        <row r="437">
          <cell r="E437" t="str">
            <v>15707</v>
          </cell>
          <cell r="F437">
            <v>210</v>
          </cell>
          <cell r="G437">
            <v>5</v>
          </cell>
          <cell r="H437">
            <v>1050</v>
          </cell>
          <cell r="I437" t="str">
            <v>DATES</v>
          </cell>
          <cell r="J437" t="str">
            <v>Medjoul-Large</v>
          </cell>
          <cell r="K437" t="str">
            <v>Medjoul-Large</v>
          </cell>
          <cell r="L437" t="str">
            <v>Large</v>
          </cell>
          <cell r="M437" t="str">
            <v>Medjoul Dates Large</v>
          </cell>
          <cell r="N437" t="str">
            <v>CFPL</v>
          </cell>
          <cell r="O437" t="str">
            <v>Savla</v>
          </cell>
          <cell r="P437" t="str">
            <v>Hadiklaim</v>
          </cell>
          <cell r="Q437">
            <v>871.2</v>
          </cell>
          <cell r="R437">
            <v>914760</v>
          </cell>
          <cell r="S437">
            <v>34</v>
          </cell>
          <cell r="T437" t="str">
            <v>31-60 Days</v>
          </cell>
          <cell r="U437">
            <v>210</v>
          </cell>
          <cell r="V437" t="str">
            <v>43206000-1 to 43206000-210</v>
          </cell>
        </row>
        <row r="438">
          <cell r="E438" t="str">
            <v>15708</v>
          </cell>
          <cell r="F438">
            <v>210</v>
          </cell>
          <cell r="G438">
            <v>5</v>
          </cell>
          <cell r="H438">
            <v>1050</v>
          </cell>
          <cell r="I438" t="str">
            <v>DATES</v>
          </cell>
          <cell r="J438" t="str">
            <v>Medjoul-Large</v>
          </cell>
          <cell r="K438" t="str">
            <v>Medjoul-Large</v>
          </cell>
          <cell r="L438" t="str">
            <v>Large</v>
          </cell>
          <cell r="M438" t="str">
            <v>Medjoul Dates Large</v>
          </cell>
          <cell r="N438" t="str">
            <v>CFPL</v>
          </cell>
          <cell r="O438" t="str">
            <v>Savla</v>
          </cell>
          <cell r="P438" t="str">
            <v>Hadiklaim</v>
          </cell>
          <cell r="Q438">
            <v>871.2</v>
          </cell>
          <cell r="R438">
            <v>914760</v>
          </cell>
          <cell r="S438">
            <v>34</v>
          </cell>
          <cell r="T438" t="str">
            <v>31-60 Days</v>
          </cell>
          <cell r="U438">
            <v>210</v>
          </cell>
          <cell r="V438" t="str">
            <v>43207000-1 to 43207000-210</v>
          </cell>
        </row>
        <row r="439">
          <cell r="E439" t="str">
            <v>15709</v>
          </cell>
          <cell r="F439">
            <v>208</v>
          </cell>
          <cell r="G439">
            <v>5</v>
          </cell>
          <cell r="H439">
            <v>1040</v>
          </cell>
          <cell r="I439" t="str">
            <v>DATES</v>
          </cell>
          <cell r="J439" t="str">
            <v>Medjoul-Large</v>
          </cell>
          <cell r="K439" t="str">
            <v>Medjoul-Large</v>
          </cell>
          <cell r="L439" t="str">
            <v>Large</v>
          </cell>
          <cell r="M439" t="str">
            <v>Medjoul Dates Large</v>
          </cell>
          <cell r="N439" t="str">
            <v>CFPL</v>
          </cell>
          <cell r="O439" t="str">
            <v>Savla</v>
          </cell>
          <cell r="P439" t="str">
            <v>Hadiklaim</v>
          </cell>
          <cell r="Q439">
            <v>871.2</v>
          </cell>
          <cell r="R439">
            <v>906048</v>
          </cell>
          <cell r="S439">
            <v>34</v>
          </cell>
          <cell r="T439" t="str">
            <v>31-60 Days</v>
          </cell>
          <cell r="U439">
            <v>208</v>
          </cell>
          <cell r="V439" t="str">
            <v>43208000-1 to 43208000-208</v>
          </cell>
        </row>
        <row r="440">
          <cell r="E440" t="str">
            <v>15710</v>
          </cell>
          <cell r="F440">
            <v>210</v>
          </cell>
          <cell r="G440">
            <v>5</v>
          </cell>
          <cell r="H440">
            <v>1050</v>
          </cell>
          <cell r="I440" t="str">
            <v>DATES</v>
          </cell>
          <cell r="J440" t="str">
            <v>Medjoul-Large</v>
          </cell>
          <cell r="K440" t="str">
            <v>Medjoul-Large</v>
          </cell>
          <cell r="L440" t="str">
            <v>Large</v>
          </cell>
          <cell r="M440" t="str">
            <v>Medjoul Dates Large</v>
          </cell>
          <cell r="N440" t="str">
            <v>CFPL</v>
          </cell>
          <cell r="O440" t="str">
            <v>Savla</v>
          </cell>
          <cell r="P440" t="str">
            <v>Hadiklaim</v>
          </cell>
          <cell r="Q440">
            <v>871.2</v>
          </cell>
          <cell r="R440">
            <v>914760</v>
          </cell>
          <cell r="S440">
            <v>34</v>
          </cell>
          <cell r="T440" t="str">
            <v>31-60 Days</v>
          </cell>
          <cell r="U440">
            <v>210</v>
          </cell>
          <cell r="V440" t="str">
            <v>43209000-1 to 43209000-210</v>
          </cell>
        </row>
        <row r="441">
          <cell r="E441" t="str">
            <v>15711</v>
          </cell>
          <cell r="F441">
            <v>210</v>
          </cell>
          <cell r="G441">
            <v>5</v>
          </cell>
          <cell r="H441">
            <v>1050</v>
          </cell>
          <cell r="I441" t="str">
            <v>DATES</v>
          </cell>
          <cell r="J441" t="str">
            <v>Medjoul-Large</v>
          </cell>
          <cell r="K441" t="str">
            <v>Medjoul-Large</v>
          </cell>
          <cell r="L441" t="str">
            <v>Large</v>
          </cell>
          <cell r="M441" t="str">
            <v>Medjoul Dates Large</v>
          </cell>
          <cell r="N441" t="str">
            <v>CFPL</v>
          </cell>
          <cell r="O441" t="str">
            <v>Savla</v>
          </cell>
          <cell r="P441" t="str">
            <v>Hadiklaim</v>
          </cell>
          <cell r="Q441">
            <v>871.2</v>
          </cell>
          <cell r="R441">
            <v>914760</v>
          </cell>
          <cell r="S441">
            <v>34</v>
          </cell>
          <cell r="T441" t="str">
            <v>31-60 Days</v>
          </cell>
          <cell r="U441">
            <v>210</v>
          </cell>
          <cell r="V441" t="str">
            <v>43210000-1 to 43210000-210</v>
          </cell>
        </row>
        <row r="442">
          <cell r="E442" t="str">
            <v>15712</v>
          </cell>
          <cell r="F442">
            <v>210</v>
          </cell>
          <cell r="G442">
            <v>5</v>
          </cell>
          <cell r="H442">
            <v>1050</v>
          </cell>
          <cell r="I442" t="str">
            <v>DATES</v>
          </cell>
          <cell r="J442" t="str">
            <v>Medjoul-Large</v>
          </cell>
          <cell r="K442" t="str">
            <v>Medjoul-Large</v>
          </cell>
          <cell r="L442" t="str">
            <v>Large</v>
          </cell>
          <cell r="M442" t="str">
            <v>Medjoul Dates Large</v>
          </cell>
          <cell r="N442" t="str">
            <v>CFPL</v>
          </cell>
          <cell r="O442" t="str">
            <v>Savla</v>
          </cell>
          <cell r="P442" t="str">
            <v>Hadiklaim</v>
          </cell>
          <cell r="Q442">
            <v>871.2</v>
          </cell>
          <cell r="R442">
            <v>914760</v>
          </cell>
          <cell r="S442">
            <v>34</v>
          </cell>
          <cell r="T442" t="str">
            <v>31-60 Days</v>
          </cell>
          <cell r="U442">
            <v>210</v>
          </cell>
          <cell r="V442" t="str">
            <v>43211000-1 to 43211000-210</v>
          </cell>
        </row>
        <row r="443">
          <cell r="E443" t="str">
            <v>15713</v>
          </cell>
          <cell r="F443">
            <v>210</v>
          </cell>
          <cell r="G443">
            <v>5</v>
          </cell>
          <cell r="H443">
            <v>1050</v>
          </cell>
          <cell r="I443" t="str">
            <v>DATES</v>
          </cell>
          <cell r="J443" t="str">
            <v>Medjoul-Large</v>
          </cell>
          <cell r="K443" t="str">
            <v>Medjoul-Large</v>
          </cell>
          <cell r="L443" t="str">
            <v>Large</v>
          </cell>
          <cell r="M443" t="str">
            <v>Medjoul Dates Large</v>
          </cell>
          <cell r="N443" t="str">
            <v>CFPL</v>
          </cell>
          <cell r="O443" t="str">
            <v>Savla</v>
          </cell>
          <cell r="P443" t="str">
            <v>Hadiklaim</v>
          </cell>
          <cell r="Q443">
            <v>871.2</v>
          </cell>
          <cell r="R443">
            <v>914760</v>
          </cell>
          <cell r="S443">
            <v>34</v>
          </cell>
          <cell r="T443" t="str">
            <v>31-60 Days</v>
          </cell>
          <cell r="U443">
            <v>210</v>
          </cell>
          <cell r="V443" t="str">
            <v>43212000-1 to 43212000-210</v>
          </cell>
        </row>
        <row r="444">
          <cell r="E444" t="str">
            <v>15714</v>
          </cell>
          <cell r="F444">
            <v>210</v>
          </cell>
          <cell r="G444">
            <v>5</v>
          </cell>
          <cell r="H444">
            <v>1050</v>
          </cell>
          <cell r="I444" t="str">
            <v>DATES</v>
          </cell>
          <cell r="J444" t="str">
            <v>Medjoul-Large</v>
          </cell>
          <cell r="K444" t="str">
            <v>Medjoul-Large</v>
          </cell>
          <cell r="L444" t="str">
            <v>Large</v>
          </cell>
          <cell r="M444" t="str">
            <v>Medjoul Dates Large</v>
          </cell>
          <cell r="N444" t="str">
            <v>CFPL</v>
          </cell>
          <cell r="O444" t="str">
            <v>Savla</v>
          </cell>
          <cell r="P444" t="str">
            <v>Hadiklaim</v>
          </cell>
          <cell r="Q444">
            <v>871.2</v>
          </cell>
          <cell r="R444">
            <v>914760</v>
          </cell>
          <cell r="S444">
            <v>34</v>
          </cell>
          <cell r="T444" t="str">
            <v>31-60 Days</v>
          </cell>
          <cell r="U444">
            <v>210</v>
          </cell>
          <cell r="V444" t="str">
            <v>43213000-1 to 43213000-210</v>
          </cell>
        </row>
        <row r="445">
          <cell r="E445" t="str">
            <v>15715</v>
          </cell>
          <cell r="F445">
            <v>210</v>
          </cell>
          <cell r="G445">
            <v>5</v>
          </cell>
          <cell r="H445">
            <v>1050</v>
          </cell>
          <cell r="I445" t="str">
            <v>DATES</v>
          </cell>
          <cell r="J445" t="str">
            <v>Medjoul-Large</v>
          </cell>
          <cell r="K445" t="str">
            <v>Medjoul-Large</v>
          </cell>
          <cell r="L445" t="str">
            <v>Large</v>
          </cell>
          <cell r="M445" t="str">
            <v>Medjoul Dates Large</v>
          </cell>
          <cell r="N445" t="str">
            <v>CFPL</v>
          </cell>
          <cell r="O445" t="str">
            <v>Savla</v>
          </cell>
          <cell r="P445" t="str">
            <v>Hadiklaim</v>
          </cell>
          <cell r="Q445">
            <v>871.2</v>
          </cell>
          <cell r="R445">
            <v>914760</v>
          </cell>
          <cell r="S445">
            <v>34</v>
          </cell>
          <cell r="T445" t="str">
            <v>31-60 Days</v>
          </cell>
          <cell r="U445">
            <v>210</v>
          </cell>
          <cell r="V445" t="str">
            <v>43214000-1 to 43214000-210</v>
          </cell>
        </row>
        <row r="446">
          <cell r="E446" t="str">
            <v>16955</v>
          </cell>
          <cell r="F446">
            <v>210</v>
          </cell>
          <cell r="G446">
            <v>5</v>
          </cell>
          <cell r="H446">
            <v>1050</v>
          </cell>
          <cell r="I446" t="str">
            <v>DATES</v>
          </cell>
          <cell r="J446" t="str">
            <v>Medjoul-Super Jumbo</v>
          </cell>
          <cell r="K446" t="str">
            <v>Medjoul-Sup.Jumbo</v>
          </cell>
          <cell r="L446" t="str">
            <v>S.JUMBO</v>
          </cell>
          <cell r="M446" t="str">
            <v>Medjoul Dates Super Jumbo</v>
          </cell>
          <cell r="N446" t="str">
            <v>CFPL</v>
          </cell>
          <cell r="O446" t="str">
            <v>Savla</v>
          </cell>
          <cell r="P446" t="str">
            <v>Hadiklaim</v>
          </cell>
          <cell r="Q446">
            <v>1152</v>
          </cell>
          <cell r="R446">
            <v>1209600</v>
          </cell>
          <cell r="S446">
            <v>102</v>
          </cell>
          <cell r="T446" t="str">
            <v>91-180 Days</v>
          </cell>
          <cell r="U446">
            <v>210</v>
          </cell>
          <cell r="V446" t="str">
            <v>90727000-1 to 90727000-210</v>
          </cell>
        </row>
        <row r="447">
          <cell r="E447" t="str">
            <v>16956</v>
          </cell>
          <cell r="F447">
            <v>210</v>
          </cell>
          <cell r="G447">
            <v>5</v>
          </cell>
          <cell r="H447">
            <v>1050</v>
          </cell>
          <cell r="I447" t="str">
            <v>DATES</v>
          </cell>
          <cell r="J447" t="str">
            <v>Medjoul-Super Jumbo</v>
          </cell>
          <cell r="K447" t="str">
            <v>Medjoul-Sup.Jumbo</v>
          </cell>
          <cell r="L447" t="str">
            <v>S.JUMBO</v>
          </cell>
          <cell r="M447" t="str">
            <v>Medjoul Dates Super Jumbo</v>
          </cell>
          <cell r="N447" t="str">
            <v>CFPL</v>
          </cell>
          <cell r="O447" t="str">
            <v>Savla</v>
          </cell>
          <cell r="P447" t="str">
            <v>Hadiklaim</v>
          </cell>
          <cell r="Q447">
            <v>1152</v>
          </cell>
          <cell r="R447">
            <v>1209600</v>
          </cell>
          <cell r="S447">
            <v>102</v>
          </cell>
          <cell r="T447" t="str">
            <v>91-180 Days</v>
          </cell>
          <cell r="U447">
            <v>210</v>
          </cell>
          <cell r="V447" t="str">
            <v>90726000-1 to 90726000-210</v>
          </cell>
        </row>
        <row r="448">
          <cell r="E448" t="str">
            <v>16957</v>
          </cell>
          <cell r="F448">
            <v>200</v>
          </cell>
          <cell r="G448">
            <v>5</v>
          </cell>
          <cell r="H448">
            <v>1000</v>
          </cell>
          <cell r="I448" t="str">
            <v>DATES</v>
          </cell>
          <cell r="J448" t="str">
            <v>Amary</v>
          </cell>
          <cell r="K448" t="str">
            <v>Amary</v>
          </cell>
          <cell r="L448" t="str">
            <v>Amary</v>
          </cell>
          <cell r="M448" t="str">
            <v>Amary Dates</v>
          </cell>
          <cell r="N448" t="str">
            <v>CFPL</v>
          </cell>
          <cell r="O448" t="str">
            <v>Savla</v>
          </cell>
          <cell r="P448" t="str">
            <v>Hadiklaim</v>
          </cell>
          <cell r="Q448">
            <v>315</v>
          </cell>
          <cell r="R448">
            <v>315000</v>
          </cell>
          <cell r="S448">
            <v>102</v>
          </cell>
          <cell r="T448" t="str">
            <v>91-180 Days</v>
          </cell>
          <cell r="U448">
            <v>200</v>
          </cell>
          <cell r="V448" t="str">
            <v>90730000-1 to 90730000-200</v>
          </cell>
        </row>
        <row r="449">
          <cell r="E449" t="str">
            <v>2057</v>
          </cell>
          <cell r="F449">
            <v>1</v>
          </cell>
          <cell r="G449">
            <v>8</v>
          </cell>
          <cell r="H449">
            <v>8</v>
          </cell>
          <cell r="I449" t="str">
            <v>DATES</v>
          </cell>
          <cell r="J449" t="str">
            <v>Khidri</v>
          </cell>
          <cell r="K449" t="str">
            <v>Org Khidri-Large</v>
          </cell>
          <cell r="L449" t="str">
            <v>Large</v>
          </cell>
          <cell r="M449" t="str">
            <v>Organic Khidri Large dates</v>
          </cell>
          <cell r="N449" t="str">
            <v>CFPL</v>
          </cell>
          <cell r="O449" t="str">
            <v>Savla</v>
          </cell>
          <cell r="P449" t="str">
            <v>NAKHEEL</v>
          </cell>
          <cell r="Q449">
            <v>462</v>
          </cell>
          <cell r="R449">
            <v>3696</v>
          </cell>
          <cell r="S449">
            <v>389</v>
          </cell>
          <cell r="T449" t="str">
            <v>366-730 Days</v>
          </cell>
          <cell r="U449">
            <v>1</v>
          </cell>
          <cell r="V449" t="str">
            <v>90526000-1</v>
          </cell>
        </row>
        <row r="450">
          <cell r="E450" t="str">
            <v>2058</v>
          </cell>
          <cell r="F450">
            <v>1</v>
          </cell>
          <cell r="G450">
            <v>12</v>
          </cell>
          <cell r="H450">
            <v>12</v>
          </cell>
          <cell r="I450" t="str">
            <v>DATES</v>
          </cell>
          <cell r="J450" t="str">
            <v>Seqee</v>
          </cell>
          <cell r="K450" t="str">
            <v>Org Seqee-Large</v>
          </cell>
          <cell r="L450" t="str">
            <v>Large</v>
          </cell>
          <cell r="M450" t="str">
            <v>Organic Seqee Premium Large</v>
          </cell>
          <cell r="N450" t="str">
            <v>CFPL</v>
          </cell>
          <cell r="O450" t="str">
            <v>Savla</v>
          </cell>
          <cell r="P450" t="str">
            <v>NAKHEEL</v>
          </cell>
          <cell r="Q450">
            <v>641</v>
          </cell>
          <cell r="R450">
            <v>7692</v>
          </cell>
          <cell r="S450">
            <v>389</v>
          </cell>
          <cell r="T450" t="str">
            <v>366-730 Days</v>
          </cell>
          <cell r="U450">
            <v>1</v>
          </cell>
          <cell r="V450" t="str">
            <v>90525000-1</v>
          </cell>
        </row>
        <row r="451">
          <cell r="E451" t="str">
            <v>2060</v>
          </cell>
          <cell r="F451">
            <v>1</v>
          </cell>
          <cell r="G451">
            <v>16</v>
          </cell>
          <cell r="H451">
            <v>16</v>
          </cell>
          <cell r="I451" t="str">
            <v>DATES</v>
          </cell>
          <cell r="J451" t="str">
            <v>Khidri</v>
          </cell>
          <cell r="K451" t="str">
            <v>Org Khidri-Large</v>
          </cell>
          <cell r="L451" t="str">
            <v>Large</v>
          </cell>
          <cell r="M451" t="str">
            <v>Organic Khidri Large dates</v>
          </cell>
          <cell r="N451" t="str">
            <v>CFPL</v>
          </cell>
          <cell r="O451" t="str">
            <v>Savla</v>
          </cell>
          <cell r="P451" t="str">
            <v>NAKHEEL</v>
          </cell>
          <cell r="Q451">
            <v>462</v>
          </cell>
          <cell r="R451">
            <v>7392</v>
          </cell>
          <cell r="S451">
            <v>389</v>
          </cell>
          <cell r="T451" t="str">
            <v>366-730 Days</v>
          </cell>
          <cell r="U451">
            <v>1</v>
          </cell>
          <cell r="V451" t="str">
            <v>90524000-1</v>
          </cell>
        </row>
        <row r="452">
          <cell r="E452" t="str">
            <v>4905</v>
          </cell>
          <cell r="F452">
            <v>118</v>
          </cell>
          <cell r="G452">
            <v>5</v>
          </cell>
          <cell r="H452">
            <v>590</v>
          </cell>
          <cell r="I452" t="str">
            <v>DATES</v>
          </cell>
          <cell r="J452" t="str">
            <v>OFF-GRADE DATES</v>
          </cell>
          <cell r="K452" t="str">
            <v>Medjoul-Rej</v>
          </cell>
          <cell r="L452" t="str">
            <v>Mix</v>
          </cell>
          <cell r="M452" t="str">
            <v>Off-Grade Dates</v>
          </cell>
          <cell r="N452" t="str">
            <v>CFPL</v>
          </cell>
          <cell r="O452" t="str">
            <v>Savla</v>
          </cell>
          <cell r="P452" t="str">
            <v>W202</v>
          </cell>
          <cell r="Q452">
            <v>200</v>
          </cell>
          <cell r="R452">
            <v>118000</v>
          </cell>
          <cell r="S452">
            <v>304</v>
          </cell>
          <cell r="T452" t="str">
            <v>181-365 Days</v>
          </cell>
          <cell r="U452">
            <v>118</v>
          </cell>
          <cell r="V452" t="str">
            <v>90529000-1 to 90529000-118</v>
          </cell>
        </row>
        <row r="453">
          <cell r="E453" t="str">
            <v>7231</v>
          </cell>
          <cell r="F453">
            <v>165</v>
          </cell>
          <cell r="G453">
            <v>5</v>
          </cell>
          <cell r="H453">
            <v>825</v>
          </cell>
          <cell r="I453" t="str">
            <v>DATES</v>
          </cell>
          <cell r="J453" t="str">
            <v>Deglet</v>
          </cell>
          <cell r="K453" t="str">
            <v>DEGLET NOUR</v>
          </cell>
          <cell r="L453" t="str">
            <v>DEGLET NOUR</v>
          </cell>
          <cell r="M453" t="str">
            <v>Deglet Dates</v>
          </cell>
          <cell r="N453" t="str">
            <v>CFPL</v>
          </cell>
          <cell r="O453" t="str">
            <v>Savla</v>
          </cell>
          <cell r="P453" t="str">
            <v>Hadiklaim</v>
          </cell>
          <cell r="Q453">
            <v>527</v>
          </cell>
          <cell r="R453">
            <v>434775</v>
          </cell>
          <cell r="S453">
            <v>237</v>
          </cell>
          <cell r="T453" t="str">
            <v>181-365 Days</v>
          </cell>
          <cell r="U453">
            <v>165</v>
          </cell>
          <cell r="V453" t="str">
            <v>90535000-1 to 90535000-165</v>
          </cell>
        </row>
        <row r="454">
          <cell r="E454" t="str">
            <v>7232</v>
          </cell>
          <cell r="F454">
            <v>175</v>
          </cell>
          <cell r="G454">
            <v>5</v>
          </cell>
          <cell r="H454">
            <v>875</v>
          </cell>
          <cell r="I454" t="str">
            <v>DATES</v>
          </cell>
          <cell r="J454" t="str">
            <v>Deglet</v>
          </cell>
          <cell r="K454" t="str">
            <v>DEGLET NOUR</v>
          </cell>
          <cell r="L454" t="str">
            <v>DEGLET NOUR</v>
          </cell>
          <cell r="M454" t="str">
            <v>Deglet Dates</v>
          </cell>
          <cell r="N454" t="str">
            <v>CFPL</v>
          </cell>
          <cell r="O454" t="str">
            <v>Savla</v>
          </cell>
          <cell r="P454" t="str">
            <v>Hadiklaim</v>
          </cell>
          <cell r="Q454">
            <v>527</v>
          </cell>
          <cell r="R454">
            <v>461125</v>
          </cell>
          <cell r="S454">
            <v>237</v>
          </cell>
          <cell r="T454" t="str">
            <v>181-365 Days</v>
          </cell>
          <cell r="U454">
            <v>175</v>
          </cell>
          <cell r="V454" t="str">
            <v>90536000-1 to 90536000-175</v>
          </cell>
        </row>
        <row r="455">
          <cell r="E455" t="str">
            <v>76576</v>
          </cell>
          <cell r="F455">
            <v>34</v>
          </cell>
          <cell r="G455">
            <v>12.5</v>
          </cell>
          <cell r="H455">
            <v>425</v>
          </cell>
          <cell r="I455" t="str">
            <v>DATES</v>
          </cell>
          <cell r="J455" t="str">
            <v>Khidri</v>
          </cell>
          <cell r="K455" t="str">
            <v>Org Khidri-Large</v>
          </cell>
          <cell r="L455" t="str">
            <v>Large</v>
          </cell>
          <cell r="M455" t="str">
            <v>Organic Khidri Large dates</v>
          </cell>
          <cell r="N455" t="str">
            <v>CFPL</v>
          </cell>
          <cell r="O455" t="str">
            <v>Savla</v>
          </cell>
          <cell r="P455" t="str">
            <v>NAKHEEL</v>
          </cell>
          <cell r="Q455">
            <v>462</v>
          </cell>
          <cell r="R455">
            <v>196350</v>
          </cell>
          <cell r="S455">
            <v>562</v>
          </cell>
          <cell r="T455" t="str">
            <v>366-730 Days</v>
          </cell>
          <cell r="U455">
            <v>34</v>
          </cell>
          <cell r="V455" t="str">
            <v>90506000-1 to 90506000-34</v>
          </cell>
        </row>
        <row r="456">
          <cell r="E456" t="str">
            <v>76577</v>
          </cell>
          <cell r="F456">
            <v>49</v>
          </cell>
          <cell r="G456">
            <v>12.5</v>
          </cell>
          <cell r="H456">
            <v>612.5</v>
          </cell>
          <cell r="I456" t="str">
            <v>DATES</v>
          </cell>
          <cell r="J456" t="str">
            <v>Khidri</v>
          </cell>
          <cell r="K456" t="str">
            <v>Org Khidri-Med</v>
          </cell>
          <cell r="L456" t="str">
            <v>Medium</v>
          </cell>
          <cell r="M456" t="str">
            <v>Organic Khidri Premium Medium</v>
          </cell>
          <cell r="N456" t="str">
            <v>CFPL</v>
          </cell>
          <cell r="O456" t="str">
            <v>Savla</v>
          </cell>
          <cell r="P456" t="str">
            <v>NAKHEEL</v>
          </cell>
          <cell r="Q456">
            <v>403</v>
          </cell>
          <cell r="R456">
            <v>246837.5</v>
          </cell>
          <cell r="S456">
            <v>562</v>
          </cell>
          <cell r="T456" t="str">
            <v>366-730 Days</v>
          </cell>
          <cell r="U456">
            <v>49</v>
          </cell>
          <cell r="V456" t="str">
            <v>90504000-1 to 90504000-49</v>
          </cell>
        </row>
        <row r="457">
          <cell r="E457" t="str">
            <v>76577</v>
          </cell>
          <cell r="F457">
            <v>30</v>
          </cell>
          <cell r="G457">
            <v>12.5</v>
          </cell>
          <cell r="H457">
            <v>375</v>
          </cell>
          <cell r="I457" t="str">
            <v>DATES</v>
          </cell>
          <cell r="J457" t="str">
            <v>Khidri</v>
          </cell>
          <cell r="K457" t="str">
            <v>Org Khidri-Med</v>
          </cell>
          <cell r="L457" t="str">
            <v>Medium</v>
          </cell>
          <cell r="M457" t="str">
            <v>Organic Khidri Premium Medium</v>
          </cell>
          <cell r="N457" t="str">
            <v>CFPL</v>
          </cell>
          <cell r="O457" t="str">
            <v>Savla</v>
          </cell>
          <cell r="P457" t="str">
            <v>NAKHEEL</v>
          </cell>
          <cell r="Q457">
            <v>403</v>
          </cell>
          <cell r="R457">
            <v>151125</v>
          </cell>
          <cell r="S457">
            <v>556</v>
          </cell>
          <cell r="T457" t="str">
            <v>366-730 Days</v>
          </cell>
          <cell r="U457">
            <v>30</v>
          </cell>
          <cell r="V457" t="str">
            <v>90507000-1 to 90507000-30</v>
          </cell>
        </row>
        <row r="458">
          <cell r="E458" t="str">
            <v>76581</v>
          </cell>
          <cell r="F458">
            <v>7</v>
          </cell>
          <cell r="G458">
            <v>5</v>
          </cell>
          <cell r="H458">
            <v>35</v>
          </cell>
          <cell r="I458" t="str">
            <v>DATES</v>
          </cell>
          <cell r="J458" t="str">
            <v>Medjoul-Large</v>
          </cell>
          <cell r="K458" t="str">
            <v>Org Medjoul-Lar</v>
          </cell>
          <cell r="L458" t="str">
            <v>Large</v>
          </cell>
          <cell r="M458" t="str">
            <v>Aldaka Medjool Premium Large</v>
          </cell>
          <cell r="N458" t="str">
            <v>CFPL</v>
          </cell>
          <cell r="O458" t="str">
            <v>Savla</v>
          </cell>
          <cell r="P458" t="str">
            <v>NAKHEEL</v>
          </cell>
          <cell r="Q458">
            <v>730</v>
          </cell>
          <cell r="R458">
            <v>25550</v>
          </cell>
          <cell r="S458">
            <v>562</v>
          </cell>
          <cell r="T458" t="str">
            <v>366-730 Days</v>
          </cell>
          <cell r="U458">
            <v>7</v>
          </cell>
          <cell r="V458" t="str">
            <v>90505000-1 to 90505000-7</v>
          </cell>
        </row>
        <row r="459">
          <cell r="E459" t="str">
            <v>76583</v>
          </cell>
          <cell r="F459">
            <v>1</v>
          </cell>
          <cell r="G459">
            <v>12.5</v>
          </cell>
          <cell r="H459">
            <v>12.5</v>
          </cell>
          <cell r="I459" t="str">
            <v>DATES</v>
          </cell>
          <cell r="J459" t="str">
            <v>Seqee</v>
          </cell>
          <cell r="K459" t="str">
            <v>Org Seqee-Large</v>
          </cell>
          <cell r="L459" t="str">
            <v>Large</v>
          </cell>
          <cell r="M459" t="str">
            <v>Organic Seqee Premium Large</v>
          </cell>
          <cell r="N459" t="str">
            <v>CFPL</v>
          </cell>
          <cell r="O459" t="str">
            <v>Savla</v>
          </cell>
          <cell r="P459" t="str">
            <v>NAKHEEL</v>
          </cell>
          <cell r="Q459">
            <v>641</v>
          </cell>
          <cell r="R459">
            <v>8012.5</v>
          </cell>
          <cell r="S459">
            <v>539</v>
          </cell>
          <cell r="T459" t="str">
            <v>366-730 Days</v>
          </cell>
          <cell r="U459">
            <v>1</v>
          </cell>
          <cell r="V459" t="str">
            <v>90511000-1</v>
          </cell>
        </row>
        <row r="460">
          <cell r="E460" t="str">
            <v>77154</v>
          </cell>
          <cell r="F460">
            <v>1</v>
          </cell>
          <cell r="G460">
            <v>12.5</v>
          </cell>
          <cell r="H460">
            <v>12.5</v>
          </cell>
          <cell r="I460" t="str">
            <v>DATES</v>
          </cell>
          <cell r="J460" t="str">
            <v>Khidri</v>
          </cell>
          <cell r="K460" t="str">
            <v>Org Khidri-Med</v>
          </cell>
          <cell r="L460" t="str">
            <v>Medium</v>
          </cell>
          <cell r="M460" t="str">
            <v>Organic Khidri Premium Medium</v>
          </cell>
          <cell r="N460" t="str">
            <v>CFPL</v>
          </cell>
          <cell r="O460" t="str">
            <v>Savla</v>
          </cell>
          <cell r="P460" t="str">
            <v>NAKHEEL</v>
          </cell>
          <cell r="Q460">
            <v>403</v>
          </cell>
          <cell r="R460">
            <v>5037.5</v>
          </cell>
          <cell r="S460">
            <v>543</v>
          </cell>
          <cell r="T460" t="str">
            <v>366-730 Days</v>
          </cell>
          <cell r="U460">
            <v>1</v>
          </cell>
          <cell r="V460" t="str">
            <v>65601000-1</v>
          </cell>
        </row>
        <row r="461">
          <cell r="E461" t="str">
            <v>77155</v>
          </cell>
          <cell r="F461">
            <v>2</v>
          </cell>
          <cell r="G461">
            <v>12.5</v>
          </cell>
          <cell r="H461">
            <v>25</v>
          </cell>
          <cell r="I461" t="str">
            <v>DATES</v>
          </cell>
          <cell r="J461" t="str">
            <v>Khidri</v>
          </cell>
          <cell r="K461" t="str">
            <v>Org Khidri-Large</v>
          </cell>
          <cell r="L461" t="str">
            <v>Large</v>
          </cell>
          <cell r="M461" t="str">
            <v>Organic Khidri Large dates</v>
          </cell>
          <cell r="N461" t="str">
            <v>CFPL</v>
          </cell>
          <cell r="O461" t="str">
            <v>Savla</v>
          </cell>
          <cell r="P461" t="str">
            <v>NAKHEEL</v>
          </cell>
          <cell r="Q461">
            <v>462</v>
          </cell>
          <cell r="R461">
            <v>11550</v>
          </cell>
          <cell r="S461">
            <v>543</v>
          </cell>
          <cell r="T461" t="str">
            <v>366-730 Days</v>
          </cell>
          <cell r="U461">
            <v>2</v>
          </cell>
          <cell r="V461" t="str">
            <v>90510000-1 to 90510000-2</v>
          </cell>
        </row>
        <row r="462">
          <cell r="E462" t="str">
            <v>7760</v>
          </cell>
          <cell r="F462">
            <v>249</v>
          </cell>
          <cell r="G462">
            <v>5</v>
          </cell>
          <cell r="H462">
            <v>1245</v>
          </cell>
          <cell r="I462" t="str">
            <v>DATES</v>
          </cell>
          <cell r="J462" t="str">
            <v>OFF-GRADE DATES</v>
          </cell>
          <cell r="K462" t="str">
            <v>Medjoul-Rej</v>
          </cell>
          <cell r="L462" t="str">
            <v>No-2</v>
          </cell>
          <cell r="M462" t="str">
            <v>Off-Grade Dates</v>
          </cell>
          <cell r="N462" t="str">
            <v>CFPL</v>
          </cell>
          <cell r="O462" t="str">
            <v>Savla</v>
          </cell>
          <cell r="P462" t="str">
            <v>W202</v>
          </cell>
          <cell r="Q462">
            <v>200</v>
          </cell>
          <cell r="R462">
            <v>249000</v>
          </cell>
          <cell r="S462">
            <v>226</v>
          </cell>
          <cell r="T462" t="str">
            <v>181-365 Days</v>
          </cell>
          <cell r="U462">
            <v>249</v>
          </cell>
          <cell r="V462" t="str">
            <v>90538000-1 to 90538000-249</v>
          </cell>
        </row>
        <row r="463">
          <cell r="E463" t="str">
            <v>81383</v>
          </cell>
          <cell r="F463">
            <v>6</v>
          </cell>
          <cell r="G463">
            <v>12.5</v>
          </cell>
          <cell r="H463">
            <v>75</v>
          </cell>
          <cell r="I463" t="str">
            <v>DATES</v>
          </cell>
          <cell r="J463" t="str">
            <v>Khidri</v>
          </cell>
          <cell r="K463" t="str">
            <v>Org Khidri-Large</v>
          </cell>
          <cell r="L463" t="str">
            <v>Large</v>
          </cell>
          <cell r="M463" t="str">
            <v>Organic Khidri Large dates</v>
          </cell>
          <cell r="N463" t="str">
            <v>CFPL</v>
          </cell>
          <cell r="O463" t="str">
            <v>Savla</v>
          </cell>
          <cell r="P463" t="str">
            <v>NAKHEEL</v>
          </cell>
          <cell r="Q463">
            <v>462</v>
          </cell>
          <cell r="R463">
            <v>34650</v>
          </cell>
          <cell r="S463">
            <v>431</v>
          </cell>
          <cell r="T463" t="str">
            <v>366-730 Days</v>
          </cell>
          <cell r="U463">
            <v>6</v>
          </cell>
          <cell r="V463" t="str">
            <v>90519000-1 to 90519000-6</v>
          </cell>
        </row>
        <row r="464">
          <cell r="E464" t="str">
            <v>9495</v>
          </cell>
          <cell r="F464">
            <v>72</v>
          </cell>
          <cell r="G464">
            <v>5</v>
          </cell>
          <cell r="H464">
            <v>360</v>
          </cell>
          <cell r="I464" t="str">
            <v>DATES</v>
          </cell>
          <cell r="J464" t="str">
            <v>Khidri</v>
          </cell>
          <cell r="K464" t="str">
            <v>Org Khidri-Jumbo</v>
          </cell>
          <cell r="L464" t="str">
            <v>Jumbo</v>
          </cell>
          <cell r="M464" t="str">
            <v>Organic Khidri Special Jumbo</v>
          </cell>
          <cell r="N464" t="str">
            <v>CFPL</v>
          </cell>
          <cell r="O464" t="str">
            <v>Savla</v>
          </cell>
          <cell r="P464" t="str">
            <v>NAKHEEL</v>
          </cell>
          <cell r="Q464">
            <v>732</v>
          </cell>
          <cell r="R464">
            <v>263520</v>
          </cell>
          <cell r="S464">
            <v>190</v>
          </cell>
          <cell r="T464" t="str">
            <v>181-365 Days</v>
          </cell>
          <cell r="U464">
            <v>72</v>
          </cell>
          <cell r="V464" t="str">
            <v>90545000-2 to 90545000-73</v>
          </cell>
        </row>
        <row r="465">
          <cell r="E465" t="str">
            <v>9496</v>
          </cell>
          <cell r="F465">
            <v>45</v>
          </cell>
          <cell r="G465">
            <v>5</v>
          </cell>
          <cell r="H465">
            <v>225</v>
          </cell>
          <cell r="I465" t="str">
            <v>DATES</v>
          </cell>
          <cell r="J465" t="str">
            <v>Wanan</v>
          </cell>
          <cell r="K465" t="str">
            <v>Org Wanan-Large</v>
          </cell>
          <cell r="L465" t="str">
            <v>Large</v>
          </cell>
          <cell r="M465" t="str">
            <v>Organic Wanan Premium Large</v>
          </cell>
          <cell r="N465" t="str">
            <v>CFPL</v>
          </cell>
          <cell r="O465" t="str">
            <v>Savla</v>
          </cell>
          <cell r="P465" t="str">
            <v>NAKHEEL</v>
          </cell>
          <cell r="Q465">
            <v>635</v>
          </cell>
          <cell r="R465">
            <v>142875</v>
          </cell>
          <cell r="S465">
            <v>190</v>
          </cell>
          <cell r="T465" t="str">
            <v>181-365 Days</v>
          </cell>
          <cell r="U465">
            <v>45</v>
          </cell>
          <cell r="V465" t="str">
            <v>90547000-1 to 90547000-45</v>
          </cell>
        </row>
        <row r="466">
          <cell r="E466" t="str">
            <v>9497</v>
          </cell>
          <cell r="F466">
            <v>79</v>
          </cell>
          <cell r="G466">
            <v>5</v>
          </cell>
          <cell r="H466">
            <v>395</v>
          </cell>
          <cell r="I466" t="str">
            <v>DATES</v>
          </cell>
          <cell r="J466" t="str">
            <v>Wanan</v>
          </cell>
          <cell r="K466" t="str">
            <v>Org Wanan-Jumbo</v>
          </cell>
          <cell r="L466" t="str">
            <v>Jumbo</v>
          </cell>
          <cell r="M466" t="str">
            <v>Organic Wanan Premium Jumbo</v>
          </cell>
          <cell r="N466" t="str">
            <v>CFPL</v>
          </cell>
          <cell r="O466" t="str">
            <v>Savla</v>
          </cell>
          <cell r="P466" t="str">
            <v>NAKHEEL</v>
          </cell>
          <cell r="Q466">
            <v>845</v>
          </cell>
          <cell r="R466">
            <v>333775</v>
          </cell>
          <cell r="S466">
            <v>190</v>
          </cell>
          <cell r="T466" t="str">
            <v>181-365 Days</v>
          </cell>
          <cell r="U466">
            <v>79</v>
          </cell>
          <cell r="V466" t="str">
            <v>90544000-1 to 90544000-79</v>
          </cell>
        </row>
        <row r="467">
          <cell r="E467" t="str">
            <v>9498</v>
          </cell>
          <cell r="F467">
            <v>23</v>
          </cell>
          <cell r="G467">
            <v>5</v>
          </cell>
          <cell r="H467">
            <v>115</v>
          </cell>
          <cell r="I467" t="str">
            <v>DATES</v>
          </cell>
          <cell r="J467" t="str">
            <v>Seqee</v>
          </cell>
          <cell r="K467" t="str">
            <v>Org Seqee-Large</v>
          </cell>
          <cell r="L467" t="str">
            <v>Large</v>
          </cell>
          <cell r="M467" t="str">
            <v>Organic Seqee Premium Large</v>
          </cell>
          <cell r="N467" t="str">
            <v>CFPL</v>
          </cell>
          <cell r="O467" t="str">
            <v>Savla</v>
          </cell>
          <cell r="P467" t="str">
            <v>NAKHEEL</v>
          </cell>
          <cell r="Q467">
            <v>565</v>
          </cell>
          <cell r="R467">
            <v>64975</v>
          </cell>
          <cell r="S467">
            <v>190</v>
          </cell>
          <cell r="T467" t="str">
            <v>181-365 Days</v>
          </cell>
          <cell r="U467">
            <v>23</v>
          </cell>
          <cell r="V467" t="str">
            <v>90548000-1 to 90548000-23</v>
          </cell>
        </row>
        <row r="468">
          <cell r="E468" t="str">
            <v>9976</v>
          </cell>
          <cell r="F468">
            <v>10</v>
          </cell>
          <cell r="G468">
            <v>5</v>
          </cell>
          <cell r="H468">
            <v>50</v>
          </cell>
          <cell r="I468" t="str">
            <v>DATES</v>
          </cell>
          <cell r="J468" t="str">
            <v>Deglet</v>
          </cell>
          <cell r="K468" t="str">
            <v>DEGLET NOUR</v>
          </cell>
          <cell r="L468" t="str">
            <v>DEGLET NOUR</v>
          </cell>
          <cell r="M468" t="str">
            <v>Deglet Dates</v>
          </cell>
          <cell r="N468" t="str">
            <v>CFPL</v>
          </cell>
          <cell r="O468" t="str">
            <v>Savla</v>
          </cell>
          <cell r="P468" t="str">
            <v>Hadiklaim</v>
          </cell>
          <cell r="Q468">
            <v>527</v>
          </cell>
          <cell r="R468">
            <v>26350</v>
          </cell>
          <cell r="S468">
            <v>180</v>
          </cell>
          <cell r="T468" t="str">
            <v>91-180 Days</v>
          </cell>
          <cell r="U468">
            <v>10</v>
          </cell>
          <cell r="V468" t="str">
            <v>90555000-2 to 90555000-11</v>
          </cell>
        </row>
        <row r="469">
          <cell r="E469" t="str">
            <v>BC/IO23</v>
          </cell>
          <cell r="F469">
            <v>1</v>
          </cell>
          <cell r="G469">
            <v>4</v>
          </cell>
          <cell r="H469">
            <v>4</v>
          </cell>
          <cell r="I469" t="str">
            <v>RAISIN</v>
          </cell>
          <cell r="J469" t="str">
            <v>Raisin - Indian</v>
          </cell>
          <cell r="K469"/>
          <cell r="L469"/>
          <cell r="M469" t="str">
            <v>Indian Green Raisins</v>
          </cell>
          <cell r="N469" t="str">
            <v>CFPL</v>
          </cell>
          <cell r="O469" t="str">
            <v>Savla</v>
          </cell>
          <cell r="P469" t="str">
            <v>Bhavesh corporation 25-26</v>
          </cell>
          <cell r="Q469"/>
          <cell r="R469">
            <v>0</v>
          </cell>
          <cell r="S469">
            <v>62</v>
          </cell>
          <cell r="T469" t="str">
            <v>61-90 Days</v>
          </cell>
          <cell r="U469">
            <v>1</v>
          </cell>
          <cell r="V469" t="str">
            <v>77307375-212</v>
          </cell>
        </row>
        <row r="470">
          <cell r="E470" t="str">
            <v>BC/IO23</v>
          </cell>
          <cell r="F470">
            <v>1</v>
          </cell>
          <cell r="G470">
            <v>5.3</v>
          </cell>
          <cell r="H470">
            <v>5.3</v>
          </cell>
          <cell r="I470" t="str">
            <v>RAISIN</v>
          </cell>
          <cell r="J470" t="str">
            <v>Raisin - Indian</v>
          </cell>
          <cell r="K470"/>
          <cell r="L470"/>
          <cell r="M470" t="str">
            <v>Indian Green Raisins</v>
          </cell>
          <cell r="N470" t="str">
            <v>CFPL</v>
          </cell>
          <cell r="O470" t="str">
            <v>Savla</v>
          </cell>
          <cell r="P470" t="str">
            <v>Bhavesh corporation 25-26</v>
          </cell>
          <cell r="Q470"/>
          <cell r="R470">
            <v>0</v>
          </cell>
          <cell r="S470">
            <v>62</v>
          </cell>
          <cell r="T470" t="str">
            <v>61-90 Days</v>
          </cell>
          <cell r="U470">
            <v>1</v>
          </cell>
          <cell r="V470" t="str">
            <v>76521776-104</v>
          </cell>
        </row>
        <row r="471">
          <cell r="E471" t="str">
            <v>BC/IO23</v>
          </cell>
          <cell r="F471">
            <v>1</v>
          </cell>
          <cell r="G471">
            <v>5.5</v>
          </cell>
          <cell r="H471">
            <v>5.5</v>
          </cell>
          <cell r="I471" t="str">
            <v>RAISIN</v>
          </cell>
          <cell r="J471" t="str">
            <v>Raisin - Indian</v>
          </cell>
          <cell r="K471"/>
          <cell r="L471"/>
          <cell r="M471" t="str">
            <v>Indian Green Raisins</v>
          </cell>
          <cell r="N471" t="str">
            <v>CFPL</v>
          </cell>
          <cell r="O471" t="str">
            <v>Savla</v>
          </cell>
          <cell r="P471" t="str">
            <v>Bhavesh corporation 25-26</v>
          </cell>
          <cell r="Q471"/>
          <cell r="R471">
            <v>0</v>
          </cell>
          <cell r="S471">
            <v>62</v>
          </cell>
          <cell r="T471" t="str">
            <v>61-90 Days</v>
          </cell>
          <cell r="U471">
            <v>1</v>
          </cell>
          <cell r="V471" t="str">
            <v>77724388-215</v>
          </cell>
        </row>
        <row r="472">
          <cell r="E472" t="str">
            <v>BC/IO23</v>
          </cell>
          <cell r="F472">
            <v>1</v>
          </cell>
          <cell r="G472">
            <v>8</v>
          </cell>
          <cell r="H472">
            <v>8</v>
          </cell>
          <cell r="I472" t="str">
            <v>RAISIN</v>
          </cell>
          <cell r="J472" t="str">
            <v>Raisin - Indian</v>
          </cell>
          <cell r="K472"/>
          <cell r="L472"/>
          <cell r="M472" t="str">
            <v>Indian Green Raisins</v>
          </cell>
          <cell r="N472" t="str">
            <v>CFPL</v>
          </cell>
          <cell r="O472" t="str">
            <v>Savla</v>
          </cell>
          <cell r="P472" t="str">
            <v>Bhavesh corporation 25-26</v>
          </cell>
          <cell r="Q472"/>
          <cell r="R472">
            <v>0</v>
          </cell>
          <cell r="S472">
            <v>62</v>
          </cell>
          <cell r="T472" t="str">
            <v>61-90 Days</v>
          </cell>
          <cell r="U472">
            <v>1</v>
          </cell>
          <cell r="V472" t="str">
            <v>76919909-109</v>
          </cell>
        </row>
        <row r="473">
          <cell r="E473" t="str">
            <v>BC/IO23</v>
          </cell>
          <cell r="F473">
            <v>1</v>
          </cell>
          <cell r="G473">
            <v>8.1</v>
          </cell>
          <cell r="H473">
            <v>8.1</v>
          </cell>
          <cell r="I473" t="str">
            <v>RAISIN</v>
          </cell>
          <cell r="J473" t="str">
            <v>Raisin - Indian</v>
          </cell>
          <cell r="K473"/>
          <cell r="L473"/>
          <cell r="M473" t="str">
            <v>Indian Green Raisins</v>
          </cell>
          <cell r="N473" t="str">
            <v>CFPL</v>
          </cell>
          <cell r="O473" t="str">
            <v>Savla</v>
          </cell>
          <cell r="P473" t="str">
            <v>Bhavesh corporation 25-26</v>
          </cell>
          <cell r="Q473"/>
          <cell r="R473">
            <v>0</v>
          </cell>
          <cell r="S473">
            <v>62</v>
          </cell>
          <cell r="T473" t="str">
            <v>61-90 Days</v>
          </cell>
          <cell r="U473">
            <v>1</v>
          </cell>
          <cell r="V473" t="str">
            <v>76642974-105</v>
          </cell>
        </row>
        <row r="474">
          <cell r="E474" t="str">
            <v>BC/IO23</v>
          </cell>
          <cell r="F474">
            <v>1</v>
          </cell>
          <cell r="G474">
            <v>13</v>
          </cell>
          <cell r="H474">
            <v>13</v>
          </cell>
          <cell r="I474" t="str">
            <v>RAISIN</v>
          </cell>
          <cell r="J474" t="str">
            <v>Raisin - Indian</v>
          </cell>
          <cell r="K474"/>
          <cell r="L474"/>
          <cell r="M474" t="str">
            <v>Indian Green Raisins</v>
          </cell>
          <cell r="N474" t="str">
            <v>CFPL</v>
          </cell>
          <cell r="O474" t="str">
            <v>Savla</v>
          </cell>
          <cell r="P474" t="str">
            <v>Bhavesh corporation 25-26</v>
          </cell>
          <cell r="Q474"/>
          <cell r="R474">
            <v>0</v>
          </cell>
          <cell r="S474">
            <v>62</v>
          </cell>
          <cell r="T474" t="str">
            <v>61-90 Days</v>
          </cell>
          <cell r="U474">
            <v>1</v>
          </cell>
          <cell r="V474" t="str">
            <v>77146857-111</v>
          </cell>
        </row>
        <row r="475">
          <cell r="E475" t="str">
            <v>BC/IO23</v>
          </cell>
          <cell r="F475">
            <v>1</v>
          </cell>
          <cell r="G475">
            <v>14.7</v>
          </cell>
          <cell r="H475">
            <v>14.7</v>
          </cell>
          <cell r="I475" t="str">
            <v>RAISIN</v>
          </cell>
          <cell r="J475" t="str">
            <v>Raisin - Indian</v>
          </cell>
          <cell r="K475"/>
          <cell r="L475"/>
          <cell r="M475" t="str">
            <v>Indian Green Raisins</v>
          </cell>
          <cell r="N475" t="str">
            <v>CFPL</v>
          </cell>
          <cell r="O475" t="str">
            <v>Savla</v>
          </cell>
          <cell r="P475" t="str">
            <v>Bhavesh corporation 25-26</v>
          </cell>
          <cell r="Q475"/>
          <cell r="R475">
            <v>0</v>
          </cell>
          <cell r="S475">
            <v>62</v>
          </cell>
          <cell r="T475" t="str">
            <v>61-90 Days</v>
          </cell>
          <cell r="U475">
            <v>1</v>
          </cell>
          <cell r="V475" t="str">
            <v>76680611-106</v>
          </cell>
        </row>
        <row r="476">
          <cell r="E476" t="str">
            <v>BC/IO23</v>
          </cell>
          <cell r="F476">
            <v>12</v>
          </cell>
          <cell r="G476">
            <v>14.8</v>
          </cell>
          <cell r="H476">
            <v>177.6</v>
          </cell>
          <cell r="I476" t="str">
            <v>RAISIN</v>
          </cell>
          <cell r="J476" t="str">
            <v>Raisin - Indian</v>
          </cell>
          <cell r="K476"/>
          <cell r="L476"/>
          <cell r="M476" t="str">
            <v>Indian Green Raisins</v>
          </cell>
          <cell r="N476" t="str">
            <v>CFPL</v>
          </cell>
          <cell r="O476" t="str">
            <v>Savla</v>
          </cell>
          <cell r="P476" t="str">
            <v>Bhavesh corporation 25-26</v>
          </cell>
          <cell r="Q476"/>
          <cell r="R476">
            <v>0</v>
          </cell>
          <cell r="S476">
            <v>62</v>
          </cell>
          <cell r="T476" t="str">
            <v>61-90 Days</v>
          </cell>
          <cell r="U476">
            <v>12</v>
          </cell>
          <cell r="V476" t="str">
            <v>77398191-213, 77481438-214, 77895822-216, 78239865-217, 78344298-219, 78425885-220, 77114062-110, 76088490-101, 76139206-102, 76278397-103, 76708016-107, 76836732-108</v>
          </cell>
        </row>
        <row r="477">
          <cell r="E477" t="str">
            <v>BC/IO23</v>
          </cell>
          <cell r="F477">
            <v>204</v>
          </cell>
          <cell r="G477">
            <v>15</v>
          </cell>
          <cell r="H477">
            <v>3060</v>
          </cell>
          <cell r="I477" t="str">
            <v>RAISIN</v>
          </cell>
          <cell r="J477" t="str">
            <v>Raisin - Indian</v>
          </cell>
          <cell r="K477"/>
          <cell r="L477"/>
          <cell r="M477" t="str">
            <v>Indian Green Raisins</v>
          </cell>
          <cell r="N477" t="str">
            <v>CFPL</v>
          </cell>
          <cell r="O477" t="str">
            <v>Savla</v>
          </cell>
          <cell r="P477" t="str">
            <v>Bhavesh corporation 25-26</v>
          </cell>
          <cell r="Q477"/>
          <cell r="R477">
            <v>0</v>
          </cell>
          <cell r="S477">
            <v>62</v>
          </cell>
          <cell r="T477" t="str">
            <v>61-90 Days</v>
          </cell>
          <cell r="U477">
            <v>204</v>
          </cell>
          <cell r="V477" t="str">
            <v>75872352-1 to 75872352-100, 77229705-177, 77229966-181, 77230207-185, 77230520-189, 77230941-193, 77231255-197, 77231495-201, 77231780-205, 77232085-209, 77229832-179, 77230094-183, 77230372-187, 77230800-191, 77231092-195, 77231372-199, 77231645-203, 77231925-207, 77232250-211, 77229905-180, 77230157-184, 77230452-188, 77230870-192, 77231171-196, 77231435-200, 77231716-204, 77231995-208, 78655970-221, 78656150-222, 78656463-223, 78656818-224, 77209591-114, 77210296-118, 77210920-122, 77219805-126, 77220169-130, 77220648-134, 77220921-138, 77221174-142, 77221463-146, 77221882-150, 77222212-154, 77222861-158, 77224678-162, 77228746-166, 77229050-170, 77229505-174, 77229770-178, 77230025-182, 77230275-186, 77230625-190, 77231016-194, 77231305-198, 77231560-202, 77231855-206, 77232150-210, 77209367-112, 77209541-113, 77209955-115, 77210114-116, 77210200-117, 77210566-119, 77210665-120, 77210735-121, 77214334-123, 77219646-124, 77219746-125, 77219875-127, 77219925-128, 77219985-129, 77220386-131, 77220457-132, 77220511-133, 77220760-135, 77220816-136, 77220861-137, 77220981-139, 77221046-140, 77221105-141, 77221242-143, 77221311-144, 77221391-145, 77221533-147, 77221659-148, 77221799-149, 77221962-151, 77222031-152, 77222112-153, 77222282-155, 77222437-156, 77222637-157, 77222940-159, 77223022-160, 77223117-161, 77226606-163, 77227476-164, 77228580-165, 77228815-167, 77228892-168, 77228960-169, 77229160-171, 77229365-172, 77229430-173, 77229565-175, 77229630-176</v>
          </cell>
        </row>
        <row r="478">
          <cell r="E478" t="str">
            <v>BC/IO23</v>
          </cell>
          <cell r="F478">
            <v>1</v>
          </cell>
          <cell r="G478">
            <v>15.7</v>
          </cell>
          <cell r="H478">
            <v>15.7</v>
          </cell>
          <cell r="I478" t="str">
            <v>RAISIN</v>
          </cell>
          <cell r="J478" t="str">
            <v>Raisin - Indian</v>
          </cell>
          <cell r="K478"/>
          <cell r="L478"/>
          <cell r="M478" t="str">
            <v>Indian Green Raisins</v>
          </cell>
          <cell r="N478" t="str">
            <v>CFPL</v>
          </cell>
          <cell r="O478" t="str">
            <v>Savla</v>
          </cell>
          <cell r="P478" t="str">
            <v>Bhavesh corporation 25-26</v>
          </cell>
          <cell r="Q478"/>
          <cell r="R478">
            <v>0</v>
          </cell>
          <cell r="S478">
            <v>62</v>
          </cell>
          <cell r="T478" t="str">
            <v>61-90 Days</v>
          </cell>
          <cell r="U478">
            <v>1</v>
          </cell>
          <cell r="V478" t="str">
            <v>78270855-218</v>
          </cell>
        </row>
        <row r="479">
          <cell r="E479" t="str">
            <v>BC/IO23</v>
          </cell>
          <cell r="F479">
            <v>1</v>
          </cell>
          <cell r="G479">
            <v>4.5</v>
          </cell>
          <cell r="H479">
            <v>4.5</v>
          </cell>
          <cell r="I479" t="str">
            <v>RAISIN</v>
          </cell>
          <cell r="J479" t="str">
            <v>Raisin - Indian</v>
          </cell>
          <cell r="K479"/>
          <cell r="L479"/>
          <cell r="M479" t="str">
            <v>Indian Green Raisins</v>
          </cell>
          <cell r="N479" t="str">
            <v>CFPL</v>
          </cell>
          <cell r="O479" t="str">
            <v>Savla</v>
          </cell>
          <cell r="P479" t="str">
            <v>Bhavesh corporation 25-26</v>
          </cell>
          <cell r="Q479"/>
          <cell r="R479">
            <v>0</v>
          </cell>
          <cell r="S479">
            <v>62</v>
          </cell>
          <cell r="T479" t="str">
            <v>61-90 Days</v>
          </cell>
          <cell r="U479">
            <v>1</v>
          </cell>
          <cell r="V479" t="str">
            <v>73617790-555</v>
          </cell>
        </row>
        <row r="480">
          <cell r="E480" t="str">
            <v>BC/IO23</v>
          </cell>
          <cell r="F480">
            <v>1</v>
          </cell>
          <cell r="G480">
            <v>6.7</v>
          </cell>
          <cell r="H480">
            <v>6.7</v>
          </cell>
          <cell r="I480" t="str">
            <v>RAISIN</v>
          </cell>
          <cell r="J480" t="str">
            <v>Raisin - Indian</v>
          </cell>
          <cell r="K480"/>
          <cell r="L480"/>
          <cell r="M480" t="str">
            <v>Indian Green Raisins</v>
          </cell>
          <cell r="N480" t="str">
            <v>CFPL</v>
          </cell>
          <cell r="O480" t="str">
            <v>Savla</v>
          </cell>
          <cell r="P480" t="str">
            <v>Bhavesh corporation 25-26</v>
          </cell>
          <cell r="Q480"/>
          <cell r="R480">
            <v>0</v>
          </cell>
          <cell r="S480">
            <v>62</v>
          </cell>
          <cell r="T480" t="str">
            <v>61-90 Days</v>
          </cell>
          <cell r="U480">
            <v>1</v>
          </cell>
          <cell r="V480" t="str">
            <v>69892232-242</v>
          </cell>
        </row>
        <row r="481">
          <cell r="E481" t="str">
            <v>BC/IO23</v>
          </cell>
          <cell r="F481">
            <v>1</v>
          </cell>
          <cell r="G481">
            <v>8.6999999999999993</v>
          </cell>
          <cell r="H481">
            <v>8.6999999999999993</v>
          </cell>
          <cell r="I481" t="str">
            <v>RAISIN</v>
          </cell>
          <cell r="J481" t="str">
            <v>Raisin - Indian</v>
          </cell>
          <cell r="K481"/>
          <cell r="L481"/>
          <cell r="M481" t="str">
            <v>Indian Green Raisins</v>
          </cell>
          <cell r="N481" t="str">
            <v>CFPL</v>
          </cell>
          <cell r="O481" t="str">
            <v>Savla</v>
          </cell>
          <cell r="P481" t="str">
            <v>Bhavesh corporation 25-26</v>
          </cell>
          <cell r="Q481"/>
          <cell r="R481">
            <v>0</v>
          </cell>
          <cell r="S481">
            <v>62</v>
          </cell>
          <cell r="T481" t="str">
            <v>61-90 Days</v>
          </cell>
          <cell r="U481">
            <v>1</v>
          </cell>
          <cell r="V481" t="str">
            <v>70381188-282</v>
          </cell>
        </row>
        <row r="482">
          <cell r="E482" t="str">
            <v>BC/IO23</v>
          </cell>
          <cell r="F482">
            <v>1</v>
          </cell>
          <cell r="G482">
            <v>10.199999999999999</v>
          </cell>
          <cell r="H482">
            <v>10.199999999999999</v>
          </cell>
          <cell r="I482" t="str">
            <v>RAISIN</v>
          </cell>
          <cell r="J482" t="str">
            <v>Raisin - Indian</v>
          </cell>
          <cell r="K482"/>
          <cell r="L482"/>
          <cell r="M482" t="str">
            <v>Indian Green Raisins</v>
          </cell>
          <cell r="N482" t="str">
            <v>CFPL</v>
          </cell>
          <cell r="O482" t="str">
            <v>Savla</v>
          </cell>
          <cell r="P482" t="str">
            <v>Bhavesh corporation 25-26</v>
          </cell>
          <cell r="Q482"/>
          <cell r="R482">
            <v>0</v>
          </cell>
          <cell r="S482">
            <v>62</v>
          </cell>
          <cell r="T482" t="str">
            <v>61-90 Days</v>
          </cell>
          <cell r="U482">
            <v>1</v>
          </cell>
          <cell r="V482" t="str">
            <v>71000327-347</v>
          </cell>
        </row>
        <row r="483">
          <cell r="E483" t="str">
            <v>BC/IO23</v>
          </cell>
          <cell r="F483">
            <v>2</v>
          </cell>
          <cell r="G483">
            <v>11.8</v>
          </cell>
          <cell r="H483">
            <v>23.6</v>
          </cell>
          <cell r="I483" t="str">
            <v>RAISIN</v>
          </cell>
          <cell r="J483" t="str">
            <v>Raisin - Indian</v>
          </cell>
          <cell r="K483"/>
          <cell r="L483"/>
          <cell r="M483" t="str">
            <v>Indian Green Raisins</v>
          </cell>
          <cell r="N483" t="str">
            <v>CFPL</v>
          </cell>
          <cell r="O483" t="str">
            <v>Savla</v>
          </cell>
          <cell r="P483" t="str">
            <v>Bhavesh corporation 25-26</v>
          </cell>
          <cell r="Q483"/>
          <cell r="R483">
            <v>0</v>
          </cell>
          <cell r="S483">
            <v>62</v>
          </cell>
          <cell r="T483" t="str">
            <v>61-90 Days</v>
          </cell>
          <cell r="U483">
            <v>2</v>
          </cell>
          <cell r="V483" t="str">
            <v>72044189-439, 73315060-529</v>
          </cell>
        </row>
        <row r="484">
          <cell r="E484" t="str">
            <v>BC/IO23</v>
          </cell>
          <cell r="F484">
            <v>3</v>
          </cell>
          <cell r="G484">
            <v>14.7</v>
          </cell>
          <cell r="H484">
            <v>44.1</v>
          </cell>
          <cell r="I484" t="str">
            <v>RAISIN</v>
          </cell>
          <cell r="J484" t="str">
            <v>Raisin - Indian</v>
          </cell>
          <cell r="K484"/>
          <cell r="L484"/>
          <cell r="M484" t="str">
            <v>Indian Green Raisins</v>
          </cell>
          <cell r="N484" t="str">
            <v>CFPL</v>
          </cell>
          <cell r="O484" t="str">
            <v>Savla</v>
          </cell>
          <cell r="P484" t="str">
            <v>Bhavesh corporation 25-26</v>
          </cell>
          <cell r="Q484"/>
          <cell r="R484">
            <v>0</v>
          </cell>
          <cell r="S484">
            <v>62</v>
          </cell>
          <cell r="T484" t="str">
            <v>61-90 Days</v>
          </cell>
          <cell r="U484">
            <v>3</v>
          </cell>
          <cell r="V484" t="str">
            <v>68917504-195, 70287837-281, 73030331-526</v>
          </cell>
        </row>
        <row r="485">
          <cell r="E485" t="str">
            <v>BC/IO23</v>
          </cell>
          <cell r="F485">
            <v>7</v>
          </cell>
          <cell r="G485">
            <v>14.8</v>
          </cell>
          <cell r="H485">
            <v>103.6</v>
          </cell>
          <cell r="I485" t="str">
            <v>RAISIN</v>
          </cell>
          <cell r="J485" t="str">
            <v>Raisin - Indian</v>
          </cell>
          <cell r="K485"/>
          <cell r="L485"/>
          <cell r="M485" t="str">
            <v>Indian Green Raisins</v>
          </cell>
          <cell r="N485" t="str">
            <v>CFPL</v>
          </cell>
          <cell r="O485" t="str">
            <v>Savla</v>
          </cell>
          <cell r="P485" t="str">
            <v>Bhavesh corporation 25-26</v>
          </cell>
          <cell r="Q485"/>
          <cell r="R485">
            <v>0</v>
          </cell>
          <cell r="S485">
            <v>62</v>
          </cell>
          <cell r="T485" t="str">
            <v>61-90 Days</v>
          </cell>
          <cell r="U485">
            <v>7</v>
          </cell>
          <cell r="V485" t="str">
            <v>69791132-241, 72794272-486, 67765739-102, 68283952-129, 71321752-391, 72125112-440, 73692651-556</v>
          </cell>
        </row>
        <row r="486">
          <cell r="E486" t="str">
            <v>BC/IO23</v>
          </cell>
          <cell r="F486">
            <v>494</v>
          </cell>
          <cell r="G486">
            <v>15</v>
          </cell>
          <cell r="H486">
            <v>7410</v>
          </cell>
          <cell r="I486" t="str">
            <v>RAISIN</v>
          </cell>
          <cell r="J486" t="str">
            <v>Raisin - Indian</v>
          </cell>
          <cell r="K486"/>
          <cell r="L486"/>
          <cell r="M486" t="str">
            <v>Indian Green Raisins</v>
          </cell>
          <cell r="N486" t="str">
            <v>CFPL</v>
          </cell>
          <cell r="O486" t="str">
            <v>Savla</v>
          </cell>
          <cell r="P486" t="str">
            <v>Bhavesh corporation 25-26</v>
          </cell>
          <cell r="Q486"/>
          <cell r="R486">
            <v>0</v>
          </cell>
          <cell r="S486">
            <v>62</v>
          </cell>
          <cell r="T486" t="str">
            <v>61-90 Days</v>
          </cell>
          <cell r="U486">
            <v>494</v>
          </cell>
          <cell r="V486" t="str">
            <v>66730196-1 to 66730196-100, 68591411-139, 68591602-143, 68591806-147, 68592021-151, 68592221-155, 68592401-159, 68592601-163, 68592806-167, 68593001-171, 68593201-175, 68593401-179, 68593899-183, 68594099-187, 68594299-191, 68591461-140, 68591651-144, 68591872-148, 68592071-152, 68592261-156, 68592459-160, 68592650-164, 68592851-168, 68593056-172, 68593256-176, 68593451-180, 68593949-184, 68594154-188, 68594349-192, 69160585-196, 68591501-141, 68591701-145, 68591921-149, 68592120-153, 68592301-157, 68592501-161, 68592701-165, 68592901-169, 68593101-173, 68593301-177, 68593500-181, 68593999-185, 68594200-189, 68594415-193, 69160787-197, 70111010-276, 70111205-280, 70485851-284, 70486050-288, 70486285-292, 70486470-296, 70486705-300, 70487000-304, 70487345-308, 70487590-312, 70487821-316, 70488085-320, 70488365-324, 70488596-328, 70488900-332, 70489270-336, 70489550-340, 70925777-344, 71113943-348, 71114117-352, 71114276-356, 71114446-360, 71114680-364, 71114850-368, 71115030-372, 71115190-376, 71115346-380, 71115560-384, 71115736-388, 70111061-277, 70485900-285, 70486118-289, 70486335-293, 70486525-297, 70486780-301, 70487070-305, 70487416-309, 70487665-313, 70487876-317, 70488181-321, 70488430-325, 70488680-329, 70489021-333, 70489325-337, 70489625-341, 70925817-345, 71113986-349, 71114160-353, 71114317-357, 71114485-361, 71114715-365, 71114906-369, 71115070-373, 71115225-377, 71115395-381, 71115621-385, 71115785-389, 70111105-278, 70485950-286, 70486171-290, 70486381-294, 70486585-298, 70486860-302, 70487185-306, 70487466-310, 70487715-314, 70487945-318, 70488250-322, 70488485-326, 70488755-330, 70489136-334, 70489391-338, 70489685-342, 70925862-346, 71114035-350, 71114200-354, 71114365-358, 71114590-362, 71114756-366, 71114945-370, 71115111-374, 71115258-378, 71115460-382, 71115656-386, 71115825-390, 71607445-421, 71607595-425, 71607754-429, 71607945-433, 71608075-437, 72149618-441, 72302296-445, 72302810-449, 72303289-453, 72303660-457, 72304140-461, 72304820-465, 72305345-469, 72305819-473, 72306374-477, 72567542-481, 72568133-485, 72896377-489, 72916659-493, 72917174-497, 72917696-501, 72918944-505, 72920089-509, 72920699-513, 71607485-422, 71607635-426, 71607799-430, 71607975-434, 71608105-438, 72149657-442, 72302385-446, 72302995-450, 72303380-454, 72303745-458, 72304341-462, 72304934-466, 72305449-470, 72305929-474, 72567308-478, 72567649-482, 72916006-490, 72916814-494, 72917324-498, 72917850-502, 72919450-506, 72920300-510, 72920930-514, 71607525-423, 71607670-427, 71607875-431, 71608010-435, 72302052-443, 72302465-447, 72303089-451, 72303465-455, 72303829-459, 72304540-463, 72305021-467, 72305655-471, 72306060-475, 72567383-479, 72567785-483, 72816214-487, 72916384-491, 72916899-495, 72917449-499, 72918099-503, 72919644-507, 72920455-511, 72921045-515, 72921614-519, 68041355-103, 68041496-104, 68041570-105, 68041652-106, 68041716-107, 68041786-108, 68041859-109, 68041912-110, 68041984-111, 68042048-112, 68042108-113, 68042156-114, 68042202-115, 68042245-116, 68042300-117, 68042345-118, 68042385-119, 68042435-120, 68042486-121, 68042536-122, 68042586-123, 68042636-124, 68042685-125, 68042736-126, 68042785-127, 68590935-130, 68591032-131, 68591087-132, 68591132-133, 68591183-134, 68591230-135, 68591271-136, 68591321-137, 68591371-138, 68591551-142, 68591751-146, 68591971-150, 68592172-154, 68592351-158, 68592551-162, 68592751-166, 68592950-170, 68593151-174, 68593351-178, 68593850-182, 68594049-186, 68594250-190, 68594460-194, 70109227-243, 70109276-244, 70109321-245, 70109362-246, 70109406-247, 70109455-248, 70109495-249, 70109540-250, 70109595-251, 70109645-252, 70109690-253, 70109736-254, 70109780-255, 70109820-256, 70109860-257, 70109906-258, 70109956-259, 70110006-260, 70110055-261, 70110102-262, 70110145-263, 70110190-264, 70110236-265, 70110280-266, 70110321-267, 70110360-268, 70110405-269, 70110451-270, 70110490-271, 70110535-272, 70110876-273, 70110920-274, 70110970-275, 70111161-279, 70485692-283, 70485996-287, 70486225-291, 70486421-295, 70486650-299, 70486920-303, 70487276-307, 70487520-311, 70487765-315, 70488011-319, 70488311-323, 70488540-327, 70488843-331, 70489190-335, 70489470-339, 70925728-343, 71114076-351, 71114236-355, 71114410-359, 71114626-363, 71114797-367, 71114985-371, 71115145-375, 71115295-379, 71115517-383, 71115692-387, 71569087-393, 71606258-394, 71606382-395, 71606435-396, 71606475-397, 71606505-398, 71606545-399, 71606574-400, 71606624-401, 71606657-402, 71606701-403, 71606739-404, 71606777-405, 71606835-406, 71606875-407, 71606917-408, 71606956-409, 71606995-410, 71607030-411, 71607078-412, 71607116-413, 71607155-414, 71607197-415, 71607235-416, 71607285-417, 71607335-418, 71607375-419, 71607405-420, 72921304-517, 72922015-521, 72922459-525, 73433944-533, 73435508-537, 73436343-541, 73437094-545, 73437604-549, 73438105-553, 72921465-518, 72922204-522, 73433564-530, 73434952-534, 73435811-538, 73436495-542, 73437189-546, 73437699-550, 73438187-554, 72922284-523, 73267626-527, 73433686-531, 73435088-535, 73435945-539, 73436651-543, 73437300-547, 73437806-551, 71607554-424, 71607715-428, 71607909-432, 71608045-436, 72302179-444, 72302569-448, 72303189-452, 72303581-456, 72303929-460, 72304730-464, 72305149-468, 72305739-472, 72306169-476, 72567466-480, 72567893-484, 72816306-488, 72916509-492, 72917094-496, 72917579-500, 72918534-504, 72919884-508, 72920579-512, 72921164-516, 72921824-520, 72922384-524, 73267930-528, 73433866-532, 73435258-536, 73436144-540, 73436908-544, 73437406-548, 73437936-552</v>
          </cell>
        </row>
        <row r="487">
          <cell r="E487" t="str">
            <v>BC/IO23</v>
          </cell>
          <cell r="F487">
            <v>2</v>
          </cell>
          <cell r="G487">
            <v>16</v>
          </cell>
          <cell r="H487">
            <v>32</v>
          </cell>
          <cell r="I487" t="str">
            <v>RAISIN</v>
          </cell>
          <cell r="J487" t="str">
            <v>Raisin - Indian</v>
          </cell>
          <cell r="K487"/>
          <cell r="L487"/>
          <cell r="M487" t="str">
            <v>Indian Green Raisins</v>
          </cell>
          <cell r="N487" t="str">
            <v>CFPL</v>
          </cell>
          <cell r="O487" t="str">
            <v>Savla</v>
          </cell>
          <cell r="P487" t="str">
            <v>Bhavesh corporation 25-26</v>
          </cell>
          <cell r="Q487"/>
          <cell r="R487">
            <v>0</v>
          </cell>
          <cell r="S487">
            <v>62</v>
          </cell>
          <cell r="T487" t="str">
            <v>61-90 Days</v>
          </cell>
          <cell r="U487">
            <v>2</v>
          </cell>
          <cell r="V487" t="str">
            <v>67097721-101, 68162794-128</v>
          </cell>
        </row>
        <row r="488">
          <cell r="E488" t="str">
            <v>BC/IO23</v>
          </cell>
          <cell r="F488">
            <v>1</v>
          </cell>
          <cell r="G488">
            <v>18</v>
          </cell>
          <cell r="H488">
            <v>18</v>
          </cell>
          <cell r="I488" t="str">
            <v>RAISIN</v>
          </cell>
          <cell r="J488" t="str">
            <v>Raisin - Indian</v>
          </cell>
          <cell r="K488"/>
          <cell r="L488"/>
          <cell r="M488" t="str">
            <v>Indian Green Raisins</v>
          </cell>
          <cell r="N488" t="str">
            <v>CFPL</v>
          </cell>
          <cell r="O488" t="str">
            <v>Savla</v>
          </cell>
          <cell r="P488" t="str">
            <v>Bhavesh corporation 25-26</v>
          </cell>
          <cell r="Q488"/>
          <cell r="R488">
            <v>0</v>
          </cell>
          <cell r="S488">
            <v>62</v>
          </cell>
          <cell r="T488" t="str">
            <v>61-90 Days</v>
          </cell>
          <cell r="U488">
            <v>1</v>
          </cell>
          <cell r="V488" t="str">
            <v>71386383-392</v>
          </cell>
        </row>
        <row r="489">
          <cell r="E489" t="str">
            <v>BC/IO23</v>
          </cell>
          <cell r="F489">
            <v>43</v>
          </cell>
          <cell r="G489"/>
          <cell r="H489">
            <v>0</v>
          </cell>
          <cell r="I489" t="str">
            <v>RAISIN</v>
          </cell>
          <cell r="J489" t="str">
            <v>Raisin - Indian</v>
          </cell>
          <cell r="K489"/>
          <cell r="L489"/>
          <cell r="M489" t="str">
            <v>Indian Green Raisins</v>
          </cell>
          <cell r="N489" t="str">
            <v>CFPL</v>
          </cell>
          <cell r="O489" t="str">
            <v>Savla</v>
          </cell>
          <cell r="P489" t="str">
            <v>Bhavesh corporation 25-26</v>
          </cell>
          <cell r="Q489"/>
          <cell r="R489">
            <v>0</v>
          </cell>
          <cell r="S489">
            <v>62</v>
          </cell>
          <cell r="T489" t="str">
            <v>61-90 Days</v>
          </cell>
          <cell r="U489">
            <v>43</v>
          </cell>
          <cell r="V489" t="str">
            <v>69343312-199, 69343450-203, 69343666-207, 69344221-211, 69344420-215, 69344625-219, 69344810-223, 69344996-227, 69345221-231, 69345416-235, 69345616-239, 69343346-200, 69343496-204, 69343726-208, 69344261-212, 69344466-216, 69344666-220, 69344846-224, 69345060-228, 69345266-232, 69345473-236, 69345666-240, 69343382-201, 69343536-205, 69343766-209, 69344316-213, 69344520-217, 69344716-221, 69344886-225, 69345114-229, 69345321-233, 69345520-237, 69343254-198, 69343416-202, 69343582-206, 69344166-210, 69344371-214, 69344572-218, 69344771-222, 69344941-226, 69345171-230, 69345366-234, 69345571-238</v>
          </cell>
        </row>
        <row r="490">
          <cell r="E490" t="str">
            <v>184646</v>
          </cell>
          <cell r="F490">
            <v>1</v>
          </cell>
          <cell r="G490">
            <v>7.2</v>
          </cell>
          <cell r="H490">
            <v>7.2</v>
          </cell>
          <cell r="I490" t="str">
            <v>PISTA</v>
          </cell>
          <cell r="J490" t="str">
            <v>Pista - Inshell</v>
          </cell>
          <cell r="K490"/>
          <cell r="L490"/>
          <cell r="M490" t="str">
            <v>California Pista Inshell</v>
          </cell>
          <cell r="N490" t="str">
            <v>CFPL</v>
          </cell>
          <cell r="O490" t="str">
            <v>Savla</v>
          </cell>
          <cell r="P490" t="str">
            <v>WONDERFUL PISTACHIOS &amp; ALMONDS</v>
          </cell>
          <cell r="Q490"/>
          <cell r="R490">
            <v>0</v>
          </cell>
          <cell r="S490">
            <v>73</v>
          </cell>
          <cell r="T490" t="str">
            <v>61-90 Days</v>
          </cell>
          <cell r="U490">
            <v>1</v>
          </cell>
          <cell r="V490" t="str">
            <v>00386748-1686</v>
          </cell>
        </row>
        <row r="491">
          <cell r="E491" t="str">
            <v>184646</v>
          </cell>
          <cell r="F491">
            <v>1</v>
          </cell>
          <cell r="G491">
            <v>9.9</v>
          </cell>
          <cell r="H491">
            <v>9.9</v>
          </cell>
          <cell r="I491" t="str">
            <v>PISTA</v>
          </cell>
          <cell r="J491" t="str">
            <v>Pista - Inshell</v>
          </cell>
          <cell r="K491"/>
          <cell r="L491"/>
          <cell r="M491" t="str">
            <v>California Pista Inshell</v>
          </cell>
          <cell r="N491" t="str">
            <v>CFPL</v>
          </cell>
          <cell r="O491" t="str">
            <v>Savla</v>
          </cell>
          <cell r="P491" t="str">
            <v>WONDERFUL PISTACHIOS &amp; ALMONDS</v>
          </cell>
          <cell r="Q491"/>
          <cell r="R491">
            <v>0</v>
          </cell>
          <cell r="S491">
            <v>73</v>
          </cell>
          <cell r="T491" t="str">
            <v>61-90 Days</v>
          </cell>
          <cell r="U491">
            <v>1</v>
          </cell>
          <cell r="V491" t="str">
            <v>00386748-1711</v>
          </cell>
        </row>
        <row r="492">
          <cell r="E492" t="str">
            <v>184646</v>
          </cell>
          <cell r="F492">
            <v>1</v>
          </cell>
          <cell r="G492">
            <v>10.1</v>
          </cell>
          <cell r="H492">
            <v>10.1</v>
          </cell>
          <cell r="I492" t="str">
            <v>PISTA</v>
          </cell>
          <cell r="J492" t="str">
            <v>Pista - Inshell</v>
          </cell>
          <cell r="K492"/>
          <cell r="L492"/>
          <cell r="M492" t="str">
            <v>California Pista Inshell</v>
          </cell>
          <cell r="N492" t="str">
            <v>CFPL</v>
          </cell>
          <cell r="O492" t="str">
            <v>Savla</v>
          </cell>
          <cell r="P492" t="str">
            <v>WONDERFUL PISTACHIOS &amp; ALMONDS</v>
          </cell>
          <cell r="Q492"/>
          <cell r="R492">
            <v>0</v>
          </cell>
          <cell r="S492">
            <v>73</v>
          </cell>
          <cell r="T492" t="str">
            <v>61-90 Days</v>
          </cell>
          <cell r="U492">
            <v>1</v>
          </cell>
          <cell r="V492" t="str">
            <v>00386748-1714</v>
          </cell>
        </row>
        <row r="493">
          <cell r="E493" t="str">
            <v>184646</v>
          </cell>
          <cell r="F493">
            <v>1</v>
          </cell>
          <cell r="G493">
            <v>10.35</v>
          </cell>
          <cell r="H493">
            <v>10.35</v>
          </cell>
          <cell r="I493" t="str">
            <v>PISTA</v>
          </cell>
          <cell r="J493" t="str">
            <v>Pista - Inshell</v>
          </cell>
          <cell r="K493"/>
          <cell r="L493"/>
          <cell r="M493" t="str">
            <v>California Pista Inshell</v>
          </cell>
          <cell r="N493" t="str">
            <v>CFPL</v>
          </cell>
          <cell r="O493" t="str">
            <v>Savla</v>
          </cell>
          <cell r="P493" t="str">
            <v>WONDERFUL PISTACHIOS &amp; ALMONDS</v>
          </cell>
          <cell r="Q493"/>
          <cell r="R493">
            <v>0</v>
          </cell>
          <cell r="S493">
            <v>73</v>
          </cell>
          <cell r="T493" t="str">
            <v>61-90 Days</v>
          </cell>
          <cell r="U493">
            <v>1</v>
          </cell>
          <cell r="V493" t="str">
            <v>00386748-1673</v>
          </cell>
        </row>
        <row r="494">
          <cell r="E494" t="str">
            <v>184646</v>
          </cell>
          <cell r="F494">
            <v>1</v>
          </cell>
          <cell r="G494">
            <v>10.5</v>
          </cell>
          <cell r="H494">
            <v>10.5</v>
          </cell>
          <cell r="I494" t="str">
            <v>PISTA</v>
          </cell>
          <cell r="J494" t="str">
            <v>Pista - Inshell</v>
          </cell>
          <cell r="K494"/>
          <cell r="L494"/>
          <cell r="M494" t="str">
            <v>California Pista Inshell</v>
          </cell>
          <cell r="N494" t="str">
            <v>CFPL</v>
          </cell>
          <cell r="O494" t="str">
            <v>Savla</v>
          </cell>
          <cell r="P494" t="str">
            <v>WONDERFUL PISTACHIOS &amp; ALMONDS</v>
          </cell>
          <cell r="Q494"/>
          <cell r="R494">
            <v>0</v>
          </cell>
          <cell r="S494">
            <v>73</v>
          </cell>
          <cell r="T494" t="str">
            <v>61-90 Days</v>
          </cell>
          <cell r="U494">
            <v>1</v>
          </cell>
          <cell r="V494" t="str">
            <v>00386748-1707</v>
          </cell>
        </row>
        <row r="495">
          <cell r="E495" t="str">
            <v>184646</v>
          </cell>
          <cell r="F495">
            <v>1</v>
          </cell>
          <cell r="G495">
            <v>10.55</v>
          </cell>
          <cell r="H495">
            <v>10.55</v>
          </cell>
          <cell r="I495" t="str">
            <v>PISTA</v>
          </cell>
          <cell r="J495" t="str">
            <v>Pista - Inshell</v>
          </cell>
          <cell r="K495"/>
          <cell r="L495"/>
          <cell r="M495" t="str">
            <v>California Pista Inshell</v>
          </cell>
          <cell r="N495" t="str">
            <v>CFPL</v>
          </cell>
          <cell r="O495" t="str">
            <v>Savla</v>
          </cell>
          <cell r="P495" t="str">
            <v>WONDERFUL PISTACHIOS &amp; ALMONDS</v>
          </cell>
          <cell r="Q495"/>
          <cell r="R495">
            <v>0</v>
          </cell>
          <cell r="S495">
            <v>73</v>
          </cell>
          <cell r="T495" t="str">
            <v>61-90 Days</v>
          </cell>
          <cell r="U495">
            <v>1</v>
          </cell>
          <cell r="V495" t="str">
            <v>00386748-1682</v>
          </cell>
        </row>
        <row r="496">
          <cell r="E496" t="str">
            <v>184646</v>
          </cell>
          <cell r="F496">
            <v>2</v>
          </cell>
          <cell r="G496">
            <v>10.9</v>
          </cell>
          <cell r="H496">
            <v>21.8</v>
          </cell>
          <cell r="I496" t="str">
            <v>PISTA</v>
          </cell>
          <cell r="J496" t="str">
            <v>Pista - Inshell</v>
          </cell>
          <cell r="K496"/>
          <cell r="L496"/>
          <cell r="M496" t="str">
            <v>California Pista Inshell</v>
          </cell>
          <cell r="N496" t="str">
            <v>CFPL</v>
          </cell>
          <cell r="O496" t="str">
            <v>Savla</v>
          </cell>
          <cell r="P496" t="str">
            <v>WONDERFUL PISTACHIOS &amp; ALMONDS</v>
          </cell>
          <cell r="Q496"/>
          <cell r="R496">
            <v>0</v>
          </cell>
          <cell r="S496">
            <v>73</v>
          </cell>
          <cell r="T496" t="str">
            <v>61-90 Days</v>
          </cell>
          <cell r="U496">
            <v>2</v>
          </cell>
          <cell r="V496" t="str">
            <v>00386748-1688, 00386748-1698</v>
          </cell>
        </row>
        <row r="497">
          <cell r="E497" t="str">
            <v>184646</v>
          </cell>
          <cell r="F497">
            <v>6</v>
          </cell>
          <cell r="G497">
            <v>11</v>
          </cell>
          <cell r="H497">
            <v>66</v>
          </cell>
          <cell r="I497" t="str">
            <v>PISTA</v>
          </cell>
          <cell r="J497" t="str">
            <v>Pista - Inshell</v>
          </cell>
          <cell r="K497"/>
          <cell r="L497"/>
          <cell r="M497" t="str">
            <v>California Pista Inshell</v>
          </cell>
          <cell r="N497" t="str">
            <v>CFPL</v>
          </cell>
          <cell r="O497" t="str">
            <v>Savla</v>
          </cell>
          <cell r="P497" t="str">
            <v>WONDERFUL PISTACHIOS &amp; ALMONDS</v>
          </cell>
          <cell r="Q497"/>
          <cell r="R497">
            <v>0</v>
          </cell>
          <cell r="S497">
            <v>73</v>
          </cell>
          <cell r="T497" t="str">
            <v>61-90 Days</v>
          </cell>
          <cell r="U497">
            <v>6</v>
          </cell>
          <cell r="V497" t="str">
            <v>00386748-1680, 00386748-1684, 00386748-1691, 00386748-1710, 00386748-1712, 00386748-1719</v>
          </cell>
        </row>
        <row r="498">
          <cell r="E498" t="str">
            <v>184646</v>
          </cell>
          <cell r="F498">
            <v>3</v>
          </cell>
          <cell r="G498">
            <v>11.05</v>
          </cell>
          <cell r="H498">
            <v>33.15</v>
          </cell>
          <cell r="I498" t="str">
            <v>PISTA</v>
          </cell>
          <cell r="J498" t="str">
            <v>Pista - Inshell</v>
          </cell>
          <cell r="K498"/>
          <cell r="L498"/>
          <cell r="M498" t="str">
            <v>California Pista Inshell</v>
          </cell>
          <cell r="N498" t="str">
            <v>CFPL</v>
          </cell>
          <cell r="O498" t="str">
            <v>Savla</v>
          </cell>
          <cell r="P498" t="str">
            <v>WONDERFUL PISTACHIOS &amp; ALMONDS</v>
          </cell>
          <cell r="Q498"/>
          <cell r="R498">
            <v>0</v>
          </cell>
          <cell r="S498">
            <v>73</v>
          </cell>
          <cell r="T498" t="str">
            <v>61-90 Days</v>
          </cell>
          <cell r="U498">
            <v>3</v>
          </cell>
          <cell r="V498" t="str">
            <v>00386748-1668, 00386748-1670, 00386748-1674</v>
          </cell>
        </row>
        <row r="499">
          <cell r="E499" t="str">
            <v>184646</v>
          </cell>
          <cell r="F499">
            <v>7</v>
          </cell>
          <cell r="G499">
            <v>11.1</v>
          </cell>
          <cell r="H499">
            <v>77.7</v>
          </cell>
          <cell r="I499" t="str">
            <v>PISTA</v>
          </cell>
          <cell r="J499" t="str">
            <v>Pista - Inshell</v>
          </cell>
          <cell r="K499"/>
          <cell r="L499"/>
          <cell r="M499" t="str">
            <v>California Pista Inshell</v>
          </cell>
          <cell r="N499" t="str">
            <v>CFPL</v>
          </cell>
          <cell r="O499" t="str">
            <v>Savla</v>
          </cell>
          <cell r="P499" t="str">
            <v>WONDERFUL PISTACHIOS &amp; ALMONDS</v>
          </cell>
          <cell r="Q499"/>
          <cell r="R499">
            <v>0</v>
          </cell>
          <cell r="S499">
            <v>73</v>
          </cell>
          <cell r="T499" t="str">
            <v>61-90 Days</v>
          </cell>
          <cell r="U499">
            <v>7</v>
          </cell>
          <cell r="V499" t="str">
            <v>00386748-1676, 00386748-1681, 00386748-1693, 00386748-1704, 00386748-1709, 00386748-1716 to 00386748-1717</v>
          </cell>
        </row>
        <row r="500">
          <cell r="E500" t="str">
            <v>184646</v>
          </cell>
          <cell r="F500">
            <v>6</v>
          </cell>
          <cell r="G500">
            <v>11.15</v>
          </cell>
          <cell r="H500">
            <v>66.900000000000006</v>
          </cell>
          <cell r="I500" t="str">
            <v>PISTA</v>
          </cell>
          <cell r="J500" t="str">
            <v>Pista - Inshell</v>
          </cell>
          <cell r="K500"/>
          <cell r="L500"/>
          <cell r="M500" t="str">
            <v>California Pista Inshell</v>
          </cell>
          <cell r="N500" t="str">
            <v>CFPL</v>
          </cell>
          <cell r="O500" t="str">
            <v>Savla</v>
          </cell>
          <cell r="P500" t="str">
            <v>WONDERFUL PISTACHIOS &amp; ALMONDS</v>
          </cell>
          <cell r="Q500"/>
          <cell r="R500">
            <v>0</v>
          </cell>
          <cell r="S500">
            <v>73</v>
          </cell>
          <cell r="T500" t="str">
            <v>61-90 Days</v>
          </cell>
          <cell r="U500">
            <v>6</v>
          </cell>
          <cell r="V500" t="str">
            <v>00386748-1669, 00386748-1671 to 00386748-1672, 00386748-1675, 00386748-1697, 00386748-1718</v>
          </cell>
        </row>
        <row r="501">
          <cell r="E501" t="str">
            <v>184646</v>
          </cell>
          <cell r="F501">
            <v>1</v>
          </cell>
          <cell r="G501">
            <v>11.18</v>
          </cell>
          <cell r="H501">
            <v>11.18</v>
          </cell>
          <cell r="I501" t="str">
            <v>PISTA</v>
          </cell>
          <cell r="J501" t="str">
            <v>Pista - Inshell</v>
          </cell>
          <cell r="K501"/>
          <cell r="L501"/>
          <cell r="M501" t="str">
            <v>California Pista Inshell</v>
          </cell>
          <cell r="N501" t="str">
            <v>CFPL</v>
          </cell>
          <cell r="O501" t="str">
            <v>Savla</v>
          </cell>
          <cell r="P501" t="str">
            <v>WONDERFUL PISTACHIOS &amp; ALMONDS</v>
          </cell>
          <cell r="Q501"/>
          <cell r="R501">
            <v>0</v>
          </cell>
          <cell r="S501">
            <v>73</v>
          </cell>
          <cell r="T501" t="str">
            <v>61-90 Days</v>
          </cell>
          <cell r="U501">
            <v>1</v>
          </cell>
          <cell r="V501" t="str">
            <v>00386748-1679</v>
          </cell>
        </row>
        <row r="502">
          <cell r="E502" t="str">
            <v>184646</v>
          </cell>
          <cell r="F502">
            <v>5</v>
          </cell>
          <cell r="G502">
            <v>11.2</v>
          </cell>
          <cell r="H502">
            <v>56</v>
          </cell>
          <cell r="I502" t="str">
            <v>PISTA</v>
          </cell>
          <cell r="J502" t="str">
            <v>Pista - Inshell</v>
          </cell>
          <cell r="K502"/>
          <cell r="L502"/>
          <cell r="M502" t="str">
            <v>California Pista Inshell</v>
          </cell>
          <cell r="N502" t="str">
            <v>CFPL</v>
          </cell>
          <cell r="O502" t="str">
            <v>Savla</v>
          </cell>
          <cell r="P502" t="str">
            <v>WONDERFUL PISTACHIOS &amp; ALMONDS</v>
          </cell>
          <cell r="Q502"/>
          <cell r="R502">
            <v>0</v>
          </cell>
          <cell r="S502">
            <v>73</v>
          </cell>
          <cell r="T502" t="str">
            <v>61-90 Days</v>
          </cell>
          <cell r="U502">
            <v>5</v>
          </cell>
          <cell r="V502" t="str">
            <v>00386748-1687, 00386748-1690, 00386748-1692, 00386748-1695, 00386748-1715</v>
          </cell>
        </row>
        <row r="503">
          <cell r="E503" t="str">
            <v>184646</v>
          </cell>
          <cell r="F503">
            <v>1</v>
          </cell>
          <cell r="G503">
            <v>11.25</v>
          </cell>
          <cell r="H503">
            <v>11.25</v>
          </cell>
          <cell r="I503" t="str">
            <v>PISTA</v>
          </cell>
          <cell r="J503" t="str">
            <v>Pista - Inshell</v>
          </cell>
          <cell r="K503"/>
          <cell r="L503"/>
          <cell r="M503" t="str">
            <v>California Pista Inshell</v>
          </cell>
          <cell r="N503" t="str">
            <v>CFPL</v>
          </cell>
          <cell r="O503" t="str">
            <v>Savla</v>
          </cell>
          <cell r="P503" t="str">
            <v>WONDERFUL PISTACHIOS &amp; ALMONDS</v>
          </cell>
          <cell r="Q503"/>
          <cell r="R503">
            <v>0</v>
          </cell>
          <cell r="S503">
            <v>73</v>
          </cell>
          <cell r="T503" t="str">
            <v>61-90 Days</v>
          </cell>
          <cell r="U503">
            <v>1</v>
          </cell>
          <cell r="V503" t="str">
            <v>00386748-1694</v>
          </cell>
        </row>
        <row r="504">
          <cell r="E504" t="str">
            <v>184646</v>
          </cell>
          <cell r="F504">
            <v>2</v>
          </cell>
          <cell r="G504">
            <v>11.3</v>
          </cell>
          <cell r="H504">
            <v>22.6</v>
          </cell>
          <cell r="I504" t="str">
            <v>PISTA</v>
          </cell>
          <cell r="J504" t="str">
            <v>Pista - Inshell</v>
          </cell>
          <cell r="K504"/>
          <cell r="L504"/>
          <cell r="M504" t="str">
            <v>California Pista Inshell</v>
          </cell>
          <cell r="N504" t="str">
            <v>CFPL</v>
          </cell>
          <cell r="O504" t="str">
            <v>Savla</v>
          </cell>
          <cell r="P504" t="str">
            <v>WONDERFUL PISTACHIOS &amp; ALMONDS</v>
          </cell>
          <cell r="Q504"/>
          <cell r="R504">
            <v>0</v>
          </cell>
          <cell r="S504">
            <v>73</v>
          </cell>
          <cell r="T504" t="str">
            <v>61-90 Days</v>
          </cell>
          <cell r="U504">
            <v>2</v>
          </cell>
          <cell r="V504" t="str">
            <v>00386748-1689, 00386748-1696</v>
          </cell>
        </row>
        <row r="505">
          <cell r="E505" t="str">
            <v>184646</v>
          </cell>
          <cell r="F505">
            <v>1638</v>
          </cell>
          <cell r="G505">
            <v>11.34</v>
          </cell>
          <cell r="H505">
            <v>18574.919999999998</v>
          </cell>
          <cell r="I505" t="str">
            <v>PISTA</v>
          </cell>
          <cell r="J505" t="str">
            <v>Pista - Inshell</v>
          </cell>
          <cell r="K505"/>
          <cell r="L505"/>
          <cell r="M505" t="str">
            <v>California Pista Inshell</v>
          </cell>
          <cell r="N505" t="str">
            <v>CFPL</v>
          </cell>
          <cell r="O505" t="str">
            <v>Savla</v>
          </cell>
          <cell r="P505" t="str">
            <v>WONDERFUL PISTACHIOS &amp; ALMONDS</v>
          </cell>
          <cell r="Q505"/>
          <cell r="R505">
            <v>0</v>
          </cell>
          <cell r="S505">
            <v>73</v>
          </cell>
          <cell r="T505" t="str">
            <v>61-90 Days</v>
          </cell>
          <cell r="U505">
            <v>1638</v>
          </cell>
          <cell r="V505" t="str">
            <v>00386748-34 to 00386748-1667, 00386748-1701 to 00386748-1703, 00386748-1720</v>
          </cell>
        </row>
        <row r="506">
          <cell r="E506" t="str">
            <v>184646</v>
          </cell>
          <cell r="F506">
            <v>1</v>
          </cell>
          <cell r="G506">
            <v>11.35</v>
          </cell>
          <cell r="H506">
            <v>11.35</v>
          </cell>
          <cell r="I506" t="str">
            <v>PISTA</v>
          </cell>
          <cell r="J506" t="str">
            <v>Pista - Inshell</v>
          </cell>
          <cell r="K506"/>
          <cell r="L506"/>
          <cell r="M506" t="str">
            <v>California Pista Inshell</v>
          </cell>
          <cell r="N506" t="str">
            <v>CFPL</v>
          </cell>
          <cell r="O506" t="str">
            <v>Savla</v>
          </cell>
          <cell r="P506" t="str">
            <v>WONDERFUL PISTACHIOS &amp; ALMONDS</v>
          </cell>
          <cell r="Q506"/>
          <cell r="R506">
            <v>0</v>
          </cell>
          <cell r="S506">
            <v>73</v>
          </cell>
          <cell r="T506" t="str">
            <v>61-90 Days</v>
          </cell>
          <cell r="U506">
            <v>1</v>
          </cell>
          <cell r="V506" t="str">
            <v>00386748-1700</v>
          </cell>
        </row>
        <row r="507">
          <cell r="E507" t="str">
            <v>184646</v>
          </cell>
          <cell r="F507">
            <v>2</v>
          </cell>
          <cell r="G507">
            <v>11.4</v>
          </cell>
          <cell r="H507">
            <v>22.8</v>
          </cell>
          <cell r="I507" t="str">
            <v>PISTA</v>
          </cell>
          <cell r="J507" t="str">
            <v>Pista - Inshell</v>
          </cell>
          <cell r="K507"/>
          <cell r="L507"/>
          <cell r="M507" t="str">
            <v>California Pista Inshell</v>
          </cell>
          <cell r="N507" t="str">
            <v>CFPL</v>
          </cell>
          <cell r="O507" t="str">
            <v>Savla</v>
          </cell>
          <cell r="P507" t="str">
            <v>WONDERFUL PISTACHIOS &amp; ALMONDS</v>
          </cell>
          <cell r="Q507"/>
          <cell r="R507">
            <v>0</v>
          </cell>
          <cell r="S507">
            <v>73</v>
          </cell>
          <cell r="T507" t="str">
            <v>61-90 Days</v>
          </cell>
          <cell r="U507">
            <v>2</v>
          </cell>
          <cell r="V507" t="str">
            <v>00386748-1699, 00386748-1713</v>
          </cell>
        </row>
        <row r="508">
          <cell r="E508" t="str">
            <v>184646</v>
          </cell>
          <cell r="F508">
            <v>1</v>
          </cell>
          <cell r="G508">
            <v>11.5</v>
          </cell>
          <cell r="H508">
            <v>11.5</v>
          </cell>
          <cell r="I508" t="str">
            <v>PISTA</v>
          </cell>
          <cell r="J508" t="str">
            <v>Pista - Inshell</v>
          </cell>
          <cell r="K508"/>
          <cell r="L508"/>
          <cell r="M508" t="str">
            <v>California Pista Inshell</v>
          </cell>
          <cell r="N508" t="str">
            <v>CFPL</v>
          </cell>
          <cell r="O508" t="str">
            <v>Savla</v>
          </cell>
          <cell r="P508" t="str">
            <v>WONDERFUL PISTACHIOS &amp; ALMONDS</v>
          </cell>
          <cell r="Q508"/>
          <cell r="R508">
            <v>0</v>
          </cell>
          <cell r="S508">
            <v>73</v>
          </cell>
          <cell r="T508" t="str">
            <v>61-90 Days</v>
          </cell>
          <cell r="U508">
            <v>1</v>
          </cell>
          <cell r="V508" t="str">
            <v>00386748-1708</v>
          </cell>
        </row>
        <row r="509">
          <cell r="E509" t="str">
            <v>184646</v>
          </cell>
          <cell r="F509">
            <v>2</v>
          </cell>
          <cell r="G509">
            <v>11.6</v>
          </cell>
          <cell r="H509">
            <v>23.2</v>
          </cell>
          <cell r="I509" t="str">
            <v>PISTA</v>
          </cell>
          <cell r="J509" t="str">
            <v>Pista - Inshell</v>
          </cell>
          <cell r="K509"/>
          <cell r="L509"/>
          <cell r="M509" t="str">
            <v>California Pista Inshell</v>
          </cell>
          <cell r="N509" t="str">
            <v>CFPL</v>
          </cell>
          <cell r="O509" t="str">
            <v>Savla</v>
          </cell>
          <cell r="P509" t="str">
            <v>WONDERFUL PISTACHIOS &amp; ALMONDS</v>
          </cell>
          <cell r="Q509"/>
          <cell r="R509">
            <v>0</v>
          </cell>
          <cell r="S509">
            <v>73</v>
          </cell>
          <cell r="T509" t="str">
            <v>61-90 Days</v>
          </cell>
          <cell r="U509">
            <v>2</v>
          </cell>
          <cell r="V509" t="str">
            <v>00386748-1705 to 00386748-1706</v>
          </cell>
        </row>
        <row r="510">
          <cell r="E510" t="str">
            <v>184646</v>
          </cell>
          <cell r="F510">
            <v>3</v>
          </cell>
          <cell r="G510">
            <v>11.9</v>
          </cell>
          <cell r="H510">
            <v>35.700000000000003</v>
          </cell>
          <cell r="I510" t="str">
            <v>PISTA</v>
          </cell>
          <cell r="J510" t="str">
            <v>Pista - Inshell</v>
          </cell>
          <cell r="K510"/>
          <cell r="L510"/>
          <cell r="M510" t="str">
            <v>California Pista Inshell</v>
          </cell>
          <cell r="N510" t="str">
            <v>CFPL</v>
          </cell>
          <cell r="O510" t="str">
            <v>Savla</v>
          </cell>
          <cell r="P510" t="str">
            <v>WONDERFUL PISTACHIOS &amp; ALMONDS</v>
          </cell>
          <cell r="Q510"/>
          <cell r="R510">
            <v>0</v>
          </cell>
          <cell r="S510">
            <v>73</v>
          </cell>
          <cell r="T510" t="str">
            <v>61-90 Days</v>
          </cell>
          <cell r="U510">
            <v>3</v>
          </cell>
          <cell r="V510" t="str">
            <v>00386748-1677 to 00386748-1678, 00386748-1683</v>
          </cell>
        </row>
        <row r="511">
          <cell r="E511" t="str">
            <v>184646</v>
          </cell>
          <cell r="F511">
            <v>1</v>
          </cell>
          <cell r="G511">
            <v>12</v>
          </cell>
          <cell r="H511">
            <v>12</v>
          </cell>
          <cell r="I511" t="str">
            <v>PISTA</v>
          </cell>
          <cell r="J511" t="str">
            <v>Pista - Inshell</v>
          </cell>
          <cell r="K511"/>
          <cell r="L511"/>
          <cell r="M511" t="str">
            <v>California Pista Inshell</v>
          </cell>
          <cell r="N511" t="str">
            <v>CFPL</v>
          </cell>
          <cell r="O511" t="str">
            <v>Savla</v>
          </cell>
          <cell r="P511" t="str">
            <v>WONDERFUL PISTACHIOS &amp; ALMONDS</v>
          </cell>
          <cell r="Q511"/>
          <cell r="R511">
            <v>0</v>
          </cell>
          <cell r="S511">
            <v>73</v>
          </cell>
          <cell r="T511" t="str">
            <v>61-90 Days</v>
          </cell>
          <cell r="U511">
            <v>1</v>
          </cell>
          <cell r="V511" t="str">
            <v>00386748-1685</v>
          </cell>
        </row>
        <row r="512">
          <cell r="E512" t="str">
            <v>16953</v>
          </cell>
          <cell r="F512">
            <v>350</v>
          </cell>
          <cell r="G512">
            <v>8</v>
          </cell>
          <cell r="H512">
            <v>2800</v>
          </cell>
          <cell r="I512" t="str">
            <v>DATES</v>
          </cell>
          <cell r="J512" t="str">
            <v>MEDJOUL-GENERAL</v>
          </cell>
          <cell r="K512" t="str">
            <v>Medjoul-Large</v>
          </cell>
          <cell r="L512" t="str">
            <v>500gm W202</v>
          </cell>
          <cell r="M512" t="str">
            <v>KING SOLOMON MEDJOUL DATES 500 GMS</v>
          </cell>
          <cell r="N512" t="str">
            <v>CFPL</v>
          </cell>
          <cell r="O512" t="str">
            <v>Savla</v>
          </cell>
          <cell r="P512" t="str">
            <v>Hadiklaim</v>
          </cell>
          <cell r="Q512">
            <v>900</v>
          </cell>
          <cell r="R512">
            <v>2520000</v>
          </cell>
          <cell r="S512">
            <v>1</v>
          </cell>
          <cell r="T512" t="str">
            <v>0-30 Days</v>
          </cell>
          <cell r="U512">
            <v>0</v>
          </cell>
          <cell r="V512" t="str">
            <v>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</v>
          </cell>
        </row>
        <row r="513">
          <cell r="E513" t="str">
            <v>2580</v>
          </cell>
          <cell r="F513">
            <v>1</v>
          </cell>
          <cell r="G513">
            <v>22.6</v>
          </cell>
          <cell r="H513">
            <v>22.6</v>
          </cell>
          <cell r="I513" t="str">
            <v>SEEDS</v>
          </cell>
          <cell r="J513" t="str">
            <v>Pumpkin</v>
          </cell>
          <cell r="K513"/>
          <cell r="L513"/>
          <cell r="M513" t="str">
            <v>Pumpkin Seed ( 5% )</v>
          </cell>
          <cell r="N513" t="str">
            <v>CFPL</v>
          </cell>
          <cell r="O513" t="str">
            <v>Savla</v>
          </cell>
          <cell r="P513" t="str">
            <v>OS FOOD</v>
          </cell>
          <cell r="Q513"/>
          <cell r="R513">
            <v>0</v>
          </cell>
          <cell r="S513">
            <v>39</v>
          </cell>
          <cell r="T513" t="str">
            <v>31-60 Days</v>
          </cell>
          <cell r="U513">
            <v>1</v>
          </cell>
          <cell r="V513" t="str">
            <v>37503710-129</v>
          </cell>
        </row>
        <row r="514">
          <cell r="E514" t="str">
            <v>2580</v>
          </cell>
          <cell r="F514">
            <v>879</v>
          </cell>
          <cell r="G514">
            <v>25</v>
          </cell>
          <cell r="H514">
            <v>21975</v>
          </cell>
          <cell r="I514" t="str">
            <v>SEEDS</v>
          </cell>
          <cell r="J514" t="str">
            <v>Pumpkin</v>
          </cell>
          <cell r="K514"/>
          <cell r="L514"/>
          <cell r="M514" t="str">
            <v>Pumpkin Seed ( 5% )</v>
          </cell>
          <cell r="N514" t="str">
            <v>CFPL</v>
          </cell>
          <cell r="O514" t="str">
            <v>Savla</v>
          </cell>
          <cell r="P514" t="str">
            <v>OS FOOD</v>
          </cell>
          <cell r="Q514"/>
          <cell r="R514">
            <v>0</v>
          </cell>
          <cell r="S514">
            <v>39</v>
          </cell>
          <cell r="T514" t="str">
            <v>31-60 Days</v>
          </cell>
          <cell r="U514">
            <v>879</v>
          </cell>
          <cell r="V514" t="str">
            <v>37503710-1 to 37503710-128, 37503710-130 to 37503710-880</v>
          </cell>
        </row>
        <row r="515">
          <cell r="E515" t="str">
            <v>2744</v>
          </cell>
          <cell r="F515">
            <v>1440</v>
          </cell>
          <cell r="G515">
            <v>11.34</v>
          </cell>
          <cell r="H515">
            <v>16329.6</v>
          </cell>
          <cell r="I515" t="str">
            <v>CRANBERRY</v>
          </cell>
          <cell r="J515" t="str">
            <v>Cranberry - Sliced</v>
          </cell>
          <cell r="K515"/>
          <cell r="L515"/>
          <cell r="M515" t="str">
            <v>Dried Cranberry Sliced</v>
          </cell>
          <cell r="N515" t="str">
            <v>CFPL</v>
          </cell>
          <cell r="O515" t="str">
            <v>Savla</v>
          </cell>
          <cell r="P515" t="str">
            <v>TAJIR PRIVATE LIMITED</v>
          </cell>
          <cell r="Q515"/>
          <cell r="R515">
            <v>0</v>
          </cell>
          <cell r="S515">
            <v>39</v>
          </cell>
          <cell r="T515" t="str">
            <v>31-60 Days</v>
          </cell>
          <cell r="U515">
            <v>1440</v>
          </cell>
          <cell r="V515" t="str">
            <v>55189387-1 to 55189387-1440</v>
          </cell>
        </row>
        <row r="516">
          <cell r="E516" t="str">
            <v>3585</v>
          </cell>
          <cell r="F516">
            <v>777</v>
          </cell>
          <cell r="G516">
            <v>15</v>
          </cell>
          <cell r="H516">
            <v>11655</v>
          </cell>
          <cell r="I516" t="str">
            <v>RAISIN</v>
          </cell>
          <cell r="J516" t="str">
            <v>Raisin - Indian</v>
          </cell>
          <cell r="K516"/>
          <cell r="L516"/>
          <cell r="M516" t="str">
            <v>Indian Green Raisins</v>
          </cell>
          <cell r="N516" t="str">
            <v>CFPL</v>
          </cell>
          <cell r="O516" t="str">
            <v>Savla</v>
          </cell>
          <cell r="P516" t="str">
            <v>DEV INTERNATIONAL</v>
          </cell>
          <cell r="Q516">
            <v>361</v>
          </cell>
          <cell r="R516">
            <v>4207455</v>
          </cell>
          <cell r="S516">
            <v>33</v>
          </cell>
          <cell r="T516" t="str">
            <v>31-60 Days</v>
          </cell>
          <cell r="U516">
            <v>777</v>
          </cell>
          <cell r="V516" t="str">
            <v>55004682-1 to 55004682-34, 55004682-36 to 55004682-184, 55004682-186 to 55004682-760, 94682527-762, 94684922-763, 94688363-764, 94691311-765, 94693802-766, 94699918-768, 94702568-769, 94704958-770, 94707660-771, 94709989-772, 94714998-774, 94718291-775, 94723973-777, 94726373-778, 94680137-761, 94696263-767, 94712455-773, 94720679-776, 94729041-779</v>
          </cell>
        </row>
        <row r="517">
          <cell r="E517" t="str">
            <v>3585</v>
          </cell>
          <cell r="F517">
            <v>1</v>
          </cell>
          <cell r="G517">
            <v>15.1</v>
          </cell>
          <cell r="H517">
            <v>15.1</v>
          </cell>
          <cell r="I517" t="str">
            <v>RAISIN</v>
          </cell>
          <cell r="J517" t="str">
            <v>Raisin - Indian</v>
          </cell>
          <cell r="K517"/>
          <cell r="L517"/>
          <cell r="M517" t="str">
            <v>Indian Green Raisins</v>
          </cell>
          <cell r="N517" t="str">
            <v>CFPL</v>
          </cell>
          <cell r="O517" t="str">
            <v>Savla</v>
          </cell>
          <cell r="P517" t="str">
            <v>DEV INTERNATIONAL</v>
          </cell>
          <cell r="Q517">
            <v>361</v>
          </cell>
          <cell r="R517">
            <v>5451.1</v>
          </cell>
          <cell r="S517">
            <v>33</v>
          </cell>
          <cell r="T517" t="str">
            <v>31-60 Days</v>
          </cell>
          <cell r="U517">
            <v>1</v>
          </cell>
          <cell r="V517" t="str">
            <v>55004682-185</v>
          </cell>
        </row>
        <row r="518">
          <cell r="E518" t="str">
            <v>3585</v>
          </cell>
          <cell r="F518">
            <v>1</v>
          </cell>
          <cell r="G518">
            <v>15.8</v>
          </cell>
          <cell r="H518">
            <v>15.8</v>
          </cell>
          <cell r="I518" t="str">
            <v>RAISIN</v>
          </cell>
          <cell r="J518" t="str">
            <v>Raisin - Indian</v>
          </cell>
          <cell r="K518"/>
          <cell r="L518"/>
          <cell r="M518" t="str">
            <v>Indian Green Raisins</v>
          </cell>
          <cell r="N518" t="str">
            <v>CFPL</v>
          </cell>
          <cell r="O518" t="str">
            <v>Savla</v>
          </cell>
          <cell r="P518" t="str">
            <v>DEV INTERNATIONAL</v>
          </cell>
          <cell r="Q518">
            <v>361</v>
          </cell>
          <cell r="R518">
            <v>5703.8</v>
          </cell>
          <cell r="S518">
            <v>33</v>
          </cell>
          <cell r="T518" t="str">
            <v>31-60 Days</v>
          </cell>
          <cell r="U518">
            <v>1</v>
          </cell>
          <cell r="V518" t="str">
            <v>55004682-35</v>
          </cell>
        </row>
        <row r="519">
          <cell r="E519" t="str">
            <v>6393</v>
          </cell>
          <cell r="F519">
            <v>83</v>
          </cell>
          <cell r="G519">
            <v>10</v>
          </cell>
          <cell r="H519">
            <v>830</v>
          </cell>
          <cell r="I519" t="str">
            <v>ANJEER</v>
          </cell>
          <cell r="J519" t="str">
            <v>DRIED FIGS</v>
          </cell>
          <cell r="K519" t="str">
            <v>MIX-A Grade</v>
          </cell>
          <cell r="L519" t="str">
            <v>Replace W202</v>
          </cell>
          <cell r="M519" t="str">
            <v>ANJEER CHUTTA</v>
          </cell>
          <cell r="N519" t="str">
            <v>CFPL</v>
          </cell>
          <cell r="O519" t="str">
            <v>Savla</v>
          </cell>
          <cell r="P519" t="str">
            <v>Local</v>
          </cell>
          <cell r="Q519">
            <v>78.31</v>
          </cell>
          <cell r="R519">
            <v>539500</v>
          </cell>
          <cell r="S519">
            <v>8</v>
          </cell>
          <cell r="T519" t="str">
            <v>0-30 Days</v>
          </cell>
          <cell r="U519">
            <v>0</v>
          </cell>
          <cell r="V519" t="str">
            <v>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nan-nan, nan-nan</v>
          </cell>
        </row>
        <row r="520">
          <cell r="E520" t="str">
            <v>6394</v>
          </cell>
          <cell r="F520">
            <v>14</v>
          </cell>
          <cell r="G520">
            <v>10</v>
          </cell>
          <cell r="H520">
            <v>140</v>
          </cell>
          <cell r="I520" t="str">
            <v>ANJEER</v>
          </cell>
          <cell r="J520" t="str">
            <v>DRIED FIGS</v>
          </cell>
          <cell r="K520" t="str">
            <v>MIX-C Grade</v>
          </cell>
          <cell r="L520" t="str">
            <v>Replace W202</v>
          </cell>
          <cell r="M520" t="str">
            <v>ANJEER (FIGS)</v>
          </cell>
          <cell r="N520" t="str">
            <v>CFPL</v>
          </cell>
          <cell r="O520" t="str">
            <v>Savla</v>
          </cell>
          <cell r="P520" t="str">
            <v>Local</v>
          </cell>
          <cell r="Q520">
            <v>464.29</v>
          </cell>
          <cell r="R520">
            <v>91000</v>
          </cell>
          <cell r="S520">
            <v>8</v>
          </cell>
          <cell r="T520" t="str">
            <v>0-30 Days</v>
          </cell>
          <cell r="U520">
            <v>0</v>
          </cell>
          <cell r="V520" t="str">
            <v>nan-nan, nan-nan, nan-nan, nan-nan, nan-nan, nan-nan, nan-nan, nan-nan, nan-nan, nan-nan, nan-nan, nan-nan, nan-nan, nan-nan</v>
          </cell>
        </row>
        <row r="521">
          <cell r="E521" t="str">
            <v>6395</v>
          </cell>
          <cell r="F521">
            <v>83</v>
          </cell>
          <cell r="G521">
            <v>30</v>
          </cell>
          <cell r="H521">
            <v>2490</v>
          </cell>
          <cell r="I521" t="str">
            <v>ALMOND</v>
          </cell>
          <cell r="J521" t="str">
            <v>ALMOND - KERNELS</v>
          </cell>
          <cell r="K521" t="str">
            <v>Kernel Size 22</v>
          </cell>
          <cell r="L521" t="str">
            <v>Unazo</v>
          </cell>
          <cell r="M521" t="str">
            <v>AMERICAN ALMONDS KERNEL 20-22 COUNT</v>
          </cell>
          <cell r="N521" t="str">
            <v>CFPL</v>
          </cell>
          <cell r="O521" t="str">
            <v>Savla</v>
          </cell>
          <cell r="P521" t="str">
            <v>Blue Diamond</v>
          </cell>
          <cell r="Q521">
            <v>0</v>
          </cell>
          <cell r="R521">
            <v>0</v>
          </cell>
          <cell r="S521">
            <v>10</v>
          </cell>
          <cell r="T521" t="str">
            <v>0-30 Days</v>
          </cell>
          <cell r="U521">
            <v>83</v>
          </cell>
          <cell r="V521" t="str">
            <v>26901735-1 to 26901735-83</v>
          </cell>
        </row>
        <row r="522">
          <cell r="E522" t="str">
            <v>APM/73 A</v>
          </cell>
          <cell r="F522">
            <v>1</v>
          </cell>
          <cell r="G522">
            <v>5.3</v>
          </cell>
          <cell r="H522">
            <v>5.3</v>
          </cell>
          <cell r="I522" t="str">
            <v>raisin</v>
          </cell>
          <cell r="J522" t="str">
            <v>raisin - indian</v>
          </cell>
          <cell r="K522"/>
          <cell r="L522"/>
          <cell r="M522" t="str">
            <v>Indian Green Raisins</v>
          </cell>
          <cell r="N522" t="str">
            <v>CFPL</v>
          </cell>
          <cell r="O522" t="str">
            <v>Savla</v>
          </cell>
          <cell r="P522" t="str">
            <v>Bhavesh Corporation</v>
          </cell>
          <cell r="Q522">
            <v>382</v>
          </cell>
          <cell r="R522">
            <v>2024.6</v>
          </cell>
          <cell r="S522">
            <v>44</v>
          </cell>
          <cell r="T522" t="str">
            <v>31-60 Days</v>
          </cell>
          <cell r="U522">
            <v>1</v>
          </cell>
          <cell r="V522" t="str">
            <v>90796313-133</v>
          </cell>
        </row>
        <row r="523">
          <cell r="E523" t="str">
            <v>APM/73 A</v>
          </cell>
          <cell r="F523">
            <v>49</v>
          </cell>
          <cell r="G523">
            <v>14.8</v>
          </cell>
          <cell r="H523">
            <v>725.2</v>
          </cell>
          <cell r="I523" t="str">
            <v>raisin</v>
          </cell>
          <cell r="J523" t="str">
            <v>raisin - indian</v>
          </cell>
          <cell r="K523"/>
          <cell r="L523"/>
          <cell r="M523" t="str">
            <v>Indian Green Raisins</v>
          </cell>
          <cell r="N523" t="str">
            <v>CFPL</v>
          </cell>
          <cell r="O523" t="str">
            <v>Savla</v>
          </cell>
          <cell r="P523" t="str">
            <v>Bhavesh Corporation</v>
          </cell>
          <cell r="Q523">
            <v>382</v>
          </cell>
          <cell r="R523">
            <v>277026.40000000002</v>
          </cell>
          <cell r="S523">
            <v>44</v>
          </cell>
          <cell r="T523" t="str">
            <v>31-60 Days</v>
          </cell>
          <cell r="U523">
            <v>49</v>
          </cell>
          <cell r="V523" t="str">
            <v>90798463-135, 90799645-136, 90800692-137, 90801696-138, 90802700-139, 90803697-140, 90804703-141, 90805727-142, 90806703-143, 90807702-144, 90809722-146, 90810752-147, 90811750-148, 90812781-149, 90813788-150, 90814847-151, 90815841-152, 90816906-153, 90817959-154, 90820254-156, 90821300-157, 90822370-158, 90823382-159, 90824400-160, 90825386-161, 90826390-162, 90827384-163, 90828388-164, 90829400-165, 90831399-167, 90832415-168, 90833421-169, 90834446-170, 90835409-171, 90836425-172, 90837420-173, 90838430-174, 90839521-175, 90840547-176, 90842593-178, 90843559-179, 90844567-180, 90845555-181, 90846562-182, 90808717-145, 90819037-155, 90830403-166, 90841557-177, 90797381-134</v>
          </cell>
        </row>
        <row r="524">
          <cell r="E524" t="str">
            <v>APM/73 B</v>
          </cell>
          <cell r="F524">
            <v>22</v>
          </cell>
          <cell r="G524">
            <v>14.8</v>
          </cell>
          <cell r="H524">
            <v>325.60000000000002</v>
          </cell>
          <cell r="I524" t="str">
            <v>raisin</v>
          </cell>
          <cell r="J524" t="str">
            <v>raisin - indian</v>
          </cell>
          <cell r="K524"/>
          <cell r="L524"/>
          <cell r="M524" t="str">
            <v>Indian Green Raisins</v>
          </cell>
          <cell r="N524" t="str">
            <v>CFPL</v>
          </cell>
          <cell r="O524" t="str">
            <v>Savla</v>
          </cell>
          <cell r="P524" t="str">
            <v>Bhavesh Corporation</v>
          </cell>
          <cell r="Q524">
            <v>382</v>
          </cell>
          <cell r="R524">
            <v>124379.2</v>
          </cell>
          <cell r="S524">
            <v>44</v>
          </cell>
          <cell r="T524" t="str">
            <v>31-60 Days</v>
          </cell>
          <cell r="U524">
            <v>22</v>
          </cell>
          <cell r="V524" t="str">
            <v>90848566-184, 90849559-185, 90850570-186, 90851620-187, 90853739-189, 90854796-190, 90855855-191, 90856913-192, 90857961-193, 90859142-194, 90860211-195, 90861291-196, 90862324-197, 90863378-198, 90865551-200, 90866602-201, 90867619-202, 90868622-203, 90869637-204, 90870640-205, 90864470-199, 90852687-188</v>
          </cell>
        </row>
        <row r="525">
          <cell r="E525" t="str">
            <v>APM/73 B</v>
          </cell>
          <cell r="F525">
            <v>1</v>
          </cell>
          <cell r="G525">
            <v>18.2</v>
          </cell>
          <cell r="H525">
            <v>18.2</v>
          </cell>
          <cell r="I525" t="str">
            <v>raisin</v>
          </cell>
          <cell r="J525" t="str">
            <v>raisin - indian</v>
          </cell>
          <cell r="K525"/>
          <cell r="L525"/>
          <cell r="M525" t="str">
            <v>Indian Green Raisins</v>
          </cell>
          <cell r="N525" t="str">
            <v>CFPL</v>
          </cell>
          <cell r="O525" t="str">
            <v>Savla</v>
          </cell>
          <cell r="P525" t="str">
            <v>Bhavesh Corporation</v>
          </cell>
          <cell r="Q525">
            <v>382</v>
          </cell>
          <cell r="R525">
            <v>6952.4</v>
          </cell>
          <cell r="S525">
            <v>44</v>
          </cell>
          <cell r="T525" t="str">
            <v>31-60 Days</v>
          </cell>
          <cell r="U525">
            <v>1</v>
          </cell>
          <cell r="V525" t="str">
            <v>90847553-183</v>
          </cell>
        </row>
        <row r="526">
          <cell r="E526" t="str">
            <v>BBB/70 A</v>
          </cell>
          <cell r="F526">
            <v>47</v>
          </cell>
          <cell r="G526">
            <v>14.8</v>
          </cell>
          <cell r="H526">
            <v>695.6</v>
          </cell>
          <cell r="I526" t="str">
            <v>raisin</v>
          </cell>
          <cell r="J526" t="str">
            <v>raisin - indian</v>
          </cell>
          <cell r="K526"/>
          <cell r="L526"/>
          <cell r="M526" t="str">
            <v>Indian Green Raisins</v>
          </cell>
          <cell r="N526" t="str">
            <v>CFPL</v>
          </cell>
          <cell r="O526" t="str">
            <v>Savla</v>
          </cell>
          <cell r="P526" t="str">
            <v>Bhavesh Corporation</v>
          </cell>
          <cell r="Q526">
            <v>382</v>
          </cell>
          <cell r="R526">
            <v>265719.2</v>
          </cell>
          <cell r="S526">
            <v>44</v>
          </cell>
          <cell r="T526" t="str">
            <v>31-60 Days</v>
          </cell>
          <cell r="U526">
            <v>47</v>
          </cell>
          <cell r="V526" t="str">
            <v>90872654-207, 90873682-208, 90874659-209, 90876671-211, 90877681-212, 90878689-213, 90879704-214, 90880891-215, 90881922-216, 90882957-217, 90883968-218, 90884973-219, 90886988-221, 90888001-222, 90888994-223, 90890027-224, 90891057-225, 90892122-226, 90893169-227, 90894211-228, 90895305-229, 90896367-230, 90898480-232, 90899540-233, 90900606-234, 90901810-235, 90902969-236, 90904117-237, 90905210-238, 90906232-239, 90907246-240, 90908291-241, 90910397-243, 90911426-244, 90912467-245, 90913492-246, 90914517-247, 90915552-248, 90916614-249, 90917617-250, 90918665-251, 90919706-252, 90875684-210, 90885984-220, 90897422-231, 90909348-242, 90920752-253</v>
          </cell>
        </row>
        <row r="527">
          <cell r="E527" t="str">
            <v>BBB/70 A</v>
          </cell>
          <cell r="F527">
            <v>1</v>
          </cell>
          <cell r="G527">
            <v>16.899999999999999</v>
          </cell>
          <cell r="H527">
            <v>16.899999999999999</v>
          </cell>
          <cell r="I527" t="str">
            <v>raisin</v>
          </cell>
          <cell r="J527" t="str">
            <v>raisin - indian</v>
          </cell>
          <cell r="K527"/>
          <cell r="L527"/>
          <cell r="M527" t="str">
            <v>Indian Green Raisins</v>
          </cell>
          <cell r="N527" t="str">
            <v>CFPL</v>
          </cell>
          <cell r="O527" t="str">
            <v>Savla</v>
          </cell>
          <cell r="P527" t="str">
            <v>Bhavesh Corporation</v>
          </cell>
          <cell r="Q527">
            <v>382</v>
          </cell>
          <cell r="R527">
            <v>6455.8</v>
          </cell>
          <cell r="S527">
            <v>44</v>
          </cell>
          <cell r="T527" t="str">
            <v>31-60 Days</v>
          </cell>
          <cell r="U527">
            <v>1</v>
          </cell>
          <cell r="V527" t="str">
            <v>90871650-206</v>
          </cell>
        </row>
        <row r="528">
          <cell r="E528" t="str">
            <v>BBB/70 B</v>
          </cell>
          <cell r="F528">
            <v>20</v>
          </cell>
          <cell r="G528">
            <v>14.8</v>
          </cell>
          <cell r="H528">
            <v>296</v>
          </cell>
          <cell r="I528" t="str">
            <v>raisin</v>
          </cell>
          <cell r="J528" t="str">
            <v>raisin - indian</v>
          </cell>
          <cell r="K528"/>
          <cell r="L528"/>
          <cell r="M528" t="str">
            <v>Indian Green Raisins</v>
          </cell>
          <cell r="N528" t="str">
            <v>CFPL</v>
          </cell>
          <cell r="O528" t="str">
            <v>Savla</v>
          </cell>
          <cell r="P528" t="str">
            <v>Bhavesh Corporation</v>
          </cell>
          <cell r="Q528">
            <v>382</v>
          </cell>
          <cell r="R528">
            <v>113072</v>
          </cell>
          <cell r="S528">
            <v>44</v>
          </cell>
          <cell r="T528" t="str">
            <v>31-60 Days</v>
          </cell>
          <cell r="U528">
            <v>20</v>
          </cell>
          <cell r="V528" t="str">
            <v>90922939-255, 90923985-256, 90925029-257, 90926114-258, 90927197-259, 90928299-260, 90929393-261, 90930454-262, 90931474-263, 90933514-265, 90934522-266, 90935534-267, 90936544-268, 90937574-269, 90938563-270, 90939587-271, 90940595-272, 90941613-273, 90942637-274, 90932493-264</v>
          </cell>
        </row>
        <row r="529">
          <cell r="E529" t="str">
            <v>BBB/70 B</v>
          </cell>
          <cell r="F529">
            <v>1</v>
          </cell>
          <cell r="G529">
            <v>18.3</v>
          </cell>
          <cell r="H529">
            <v>18.3</v>
          </cell>
          <cell r="I529" t="str">
            <v>raisin</v>
          </cell>
          <cell r="J529" t="str">
            <v>raisin - indian</v>
          </cell>
          <cell r="K529"/>
          <cell r="L529"/>
          <cell r="M529" t="str">
            <v>Indian Green Raisins</v>
          </cell>
          <cell r="N529" t="str">
            <v>CFPL</v>
          </cell>
          <cell r="O529" t="str">
            <v>Savla</v>
          </cell>
          <cell r="P529" t="str">
            <v>Bhavesh Corporation</v>
          </cell>
          <cell r="Q529">
            <v>382</v>
          </cell>
          <cell r="R529">
            <v>6990.6</v>
          </cell>
          <cell r="S529">
            <v>44</v>
          </cell>
          <cell r="T529" t="str">
            <v>31-60 Days</v>
          </cell>
          <cell r="U529">
            <v>1</v>
          </cell>
          <cell r="V529" t="str">
            <v>90921804-254</v>
          </cell>
        </row>
        <row r="530">
          <cell r="E530" t="str">
            <v>DNV/75 A</v>
          </cell>
          <cell r="F530">
            <v>1</v>
          </cell>
          <cell r="G530">
            <v>10.4</v>
          </cell>
          <cell r="H530">
            <v>10.4</v>
          </cell>
          <cell r="I530" t="str">
            <v>raisin</v>
          </cell>
          <cell r="J530" t="str">
            <v>raisin - indian</v>
          </cell>
          <cell r="K530"/>
          <cell r="L530"/>
          <cell r="M530" t="str">
            <v>Indian Green Raisins</v>
          </cell>
          <cell r="N530" t="str">
            <v>CFPL</v>
          </cell>
          <cell r="O530" t="str">
            <v>Savla</v>
          </cell>
          <cell r="P530" t="str">
            <v>Bhavesh Corporation</v>
          </cell>
          <cell r="Q530">
            <v>382</v>
          </cell>
          <cell r="R530">
            <v>3972.8</v>
          </cell>
          <cell r="S530">
            <v>44</v>
          </cell>
          <cell r="T530" t="str">
            <v>31-60 Days</v>
          </cell>
          <cell r="U530">
            <v>1</v>
          </cell>
          <cell r="V530" t="str">
            <v>90659872-1</v>
          </cell>
        </row>
        <row r="531">
          <cell r="E531" t="str">
            <v>DNV/75 A</v>
          </cell>
          <cell r="F531">
            <v>59</v>
          </cell>
          <cell r="G531">
            <v>14.8</v>
          </cell>
          <cell r="H531">
            <v>873.2</v>
          </cell>
          <cell r="I531" t="str">
            <v>raisin</v>
          </cell>
          <cell r="J531" t="str">
            <v>raisin - indian</v>
          </cell>
          <cell r="K531"/>
          <cell r="L531"/>
          <cell r="M531" t="str">
            <v>Indian Green Raisins</v>
          </cell>
          <cell r="N531" t="str">
            <v>CFPL</v>
          </cell>
          <cell r="O531" t="str">
            <v>Savla</v>
          </cell>
          <cell r="P531" t="str">
            <v>Bhavesh Corporation</v>
          </cell>
          <cell r="Q531">
            <v>382</v>
          </cell>
          <cell r="R531">
            <v>333562.40000000002</v>
          </cell>
          <cell r="S531">
            <v>44</v>
          </cell>
          <cell r="T531" t="str">
            <v>31-60 Days</v>
          </cell>
          <cell r="U531">
            <v>59</v>
          </cell>
          <cell r="V531" t="str">
            <v>90675761-16, 90676801-17, 90677937-18, 90678943-19, 90680032-20, 90680999-21, 90681996-22, 90683135-23, 90684243-24, 90686317-26, 90687338-27, 90688346-28, 90689366-29, 90690406-30, 90691397-31, 90692446-32, 90693506-33, 90694517-34, 90695514-35, 90697500-37, 90698497-38, 90699547-39, 90700545-40, 90701734-41, 90702805-42, 90703864-43, 90704867-44, 90705862-45, 90706854-46, 90708899-48, 90709899-49, 90710897-50, 90711938-51, 90712912-52, 90713904-53, 90714901-54, 90715898-55, 90716887-56, 90717891-57, 90719892-59, 90721077-60, 90660882-2, 90661917-3, 90663033-4, 90664034-5, 90665049-6, 90666056-7, 90667067-8, 90668162-9, 90669251-10, 90670333-11, 90671430-12, 90672519-13, 90673590-14, 90696507-36, 90707886-47, 90685311-25, 90718890-58, 90674681-15</v>
          </cell>
        </row>
        <row r="532">
          <cell r="E532" t="str">
            <v>DNV/75 B</v>
          </cell>
          <cell r="F532">
            <v>1</v>
          </cell>
          <cell r="G532">
            <v>13.6</v>
          </cell>
          <cell r="H532">
            <v>13.6</v>
          </cell>
          <cell r="I532" t="str">
            <v>raisin</v>
          </cell>
          <cell r="J532" t="str">
            <v>raisin - indian</v>
          </cell>
          <cell r="K532"/>
          <cell r="L532"/>
          <cell r="M532" t="str">
            <v>Indian Green Raisins</v>
          </cell>
          <cell r="N532" t="str">
            <v>CFPL</v>
          </cell>
          <cell r="O532" t="str">
            <v>Savla</v>
          </cell>
          <cell r="P532" t="str">
            <v>Bhavesh Corporation</v>
          </cell>
          <cell r="Q532">
            <v>382</v>
          </cell>
          <cell r="R532">
            <v>5195.2</v>
          </cell>
          <cell r="S532">
            <v>44</v>
          </cell>
          <cell r="T532" t="str">
            <v>31-60 Days</v>
          </cell>
          <cell r="U532">
            <v>1</v>
          </cell>
          <cell r="V532" t="str">
            <v>90722102-61</v>
          </cell>
        </row>
        <row r="533">
          <cell r="E533" t="str">
            <v>DNV/75 B</v>
          </cell>
          <cell r="F533">
            <v>14</v>
          </cell>
          <cell r="G533">
            <v>14.8</v>
          </cell>
          <cell r="H533">
            <v>207.2</v>
          </cell>
          <cell r="I533" t="str">
            <v>raisin</v>
          </cell>
          <cell r="J533" t="str">
            <v>raisin - indian</v>
          </cell>
          <cell r="K533"/>
          <cell r="L533"/>
          <cell r="M533" t="str">
            <v>Indian Green Raisins</v>
          </cell>
          <cell r="N533" t="str">
            <v>CFPL</v>
          </cell>
          <cell r="O533" t="str">
            <v>Savla</v>
          </cell>
          <cell r="P533" t="str">
            <v>Bhavesh Corporation</v>
          </cell>
          <cell r="Q533">
            <v>382</v>
          </cell>
          <cell r="R533">
            <v>79150.399999999994</v>
          </cell>
          <cell r="S533">
            <v>44</v>
          </cell>
          <cell r="T533" t="str">
            <v>31-60 Days</v>
          </cell>
          <cell r="U533">
            <v>14</v>
          </cell>
          <cell r="V533" t="str">
            <v>90723113-62, 90724134-63, 90725128-64, 90726129-65, 90727132-66, 90728132-67, 90729130-68, 90731163-70, 90732162-71, 90733183-72, 90734164-73, 90735161-74, 90736157-75, 90730150-69</v>
          </cell>
        </row>
        <row r="534">
          <cell r="E534" t="str">
            <v>DSN/74 A</v>
          </cell>
          <cell r="F534">
            <v>1</v>
          </cell>
          <cell r="G534">
            <v>13.5</v>
          </cell>
          <cell r="H534">
            <v>13.5</v>
          </cell>
          <cell r="I534" t="str">
            <v>raisin</v>
          </cell>
          <cell r="J534" t="str">
            <v>raisin - indian</v>
          </cell>
          <cell r="K534"/>
          <cell r="L534"/>
          <cell r="M534" t="str">
            <v>Indian Green Raisins</v>
          </cell>
          <cell r="N534" t="str">
            <v>CFPL</v>
          </cell>
          <cell r="O534" t="str">
            <v>Savla</v>
          </cell>
          <cell r="P534" t="str">
            <v>Bhavesh Corporation</v>
          </cell>
          <cell r="Q534">
            <v>382</v>
          </cell>
          <cell r="R534">
            <v>5157</v>
          </cell>
          <cell r="S534">
            <v>44</v>
          </cell>
          <cell r="T534" t="str">
            <v>31-60 Days</v>
          </cell>
          <cell r="U534">
            <v>1</v>
          </cell>
          <cell r="V534" t="str">
            <v>91296872-600</v>
          </cell>
        </row>
        <row r="535">
          <cell r="E535" t="str">
            <v>DSN/74 A</v>
          </cell>
          <cell r="F535">
            <v>49</v>
          </cell>
          <cell r="G535">
            <v>14.8</v>
          </cell>
          <cell r="H535">
            <v>725.2</v>
          </cell>
          <cell r="I535" t="str">
            <v>raisin</v>
          </cell>
          <cell r="J535" t="str">
            <v>raisin - indian</v>
          </cell>
          <cell r="K535"/>
          <cell r="L535"/>
          <cell r="M535" t="str">
            <v>Indian Green Raisins</v>
          </cell>
          <cell r="N535" t="str">
            <v>CFPL</v>
          </cell>
          <cell r="O535" t="str">
            <v>Savla</v>
          </cell>
          <cell r="P535" t="str">
            <v>Bhavesh Corporation</v>
          </cell>
          <cell r="Q535">
            <v>382</v>
          </cell>
          <cell r="R535">
            <v>277026.40000000002</v>
          </cell>
          <cell r="S535">
            <v>44</v>
          </cell>
          <cell r="T535" t="str">
            <v>31-60 Days</v>
          </cell>
          <cell r="U535">
            <v>49</v>
          </cell>
          <cell r="V535" t="str">
            <v>91298374-601, 91299951-602, 91301509-603, 91303119-604, 91304666-605, 91306277-606, 91307839-607, 91309438-608, 91311049-609, 91312657-610, 91314616-611, 91316194-612, 91317791-613, 91319346-614, 91320942-615, 91322614-616, 91324125-617, 91325722-618, 91327300-619, 91328886-620, 91330515-621, 91332048-622, 91333602-623, 91335167-624, 91336705-625, 91338338-626, 91340181-627, 91341722-628, 91343278-629, 91344832-630, 91346384-631, 91347915-632, 91349519-633, 91351163-634, 91352757-635, 91354383-636, 91355983-637, 91357633-638, 91359286-639, 91360888-640, 91362507-641, 91364126-642, 91365636-643, 91367275-644, 91368939-645, 91370569-646, 91372232-647, 91373873-648, 91375424-649</v>
          </cell>
        </row>
        <row r="536">
          <cell r="E536" t="str">
            <v>DSN/74 B</v>
          </cell>
          <cell r="F536">
            <v>1</v>
          </cell>
          <cell r="G536">
            <v>12.8</v>
          </cell>
          <cell r="H536">
            <v>12.8</v>
          </cell>
          <cell r="I536" t="str">
            <v>raisin</v>
          </cell>
          <cell r="J536" t="str">
            <v>raisin - indian</v>
          </cell>
          <cell r="K536"/>
          <cell r="L536"/>
          <cell r="M536" t="str">
            <v>Indian Green Raisins</v>
          </cell>
          <cell r="N536" t="str">
            <v>CFPL</v>
          </cell>
          <cell r="O536" t="str">
            <v>Savla</v>
          </cell>
          <cell r="P536" t="str">
            <v>Bhavesh Corporation</v>
          </cell>
          <cell r="Q536">
            <v>382</v>
          </cell>
          <cell r="R536">
            <v>4889.6000000000004</v>
          </cell>
          <cell r="S536">
            <v>44</v>
          </cell>
          <cell r="T536" t="str">
            <v>31-60 Days</v>
          </cell>
          <cell r="U536">
            <v>1</v>
          </cell>
          <cell r="V536" t="str">
            <v>91377041-650</v>
          </cell>
        </row>
        <row r="537">
          <cell r="E537" t="str">
            <v>DSN/74 B</v>
          </cell>
          <cell r="F537">
            <v>22</v>
          </cell>
          <cell r="G537">
            <v>14.8</v>
          </cell>
          <cell r="H537">
            <v>325.60000000000002</v>
          </cell>
          <cell r="I537" t="str">
            <v>raisin</v>
          </cell>
          <cell r="J537" t="str">
            <v>raisin - indian</v>
          </cell>
          <cell r="K537"/>
          <cell r="L537"/>
          <cell r="M537" t="str">
            <v>Indian Green Raisins</v>
          </cell>
          <cell r="N537" t="str">
            <v>CFPL</v>
          </cell>
          <cell r="O537" t="str">
            <v>Savla</v>
          </cell>
          <cell r="P537" t="str">
            <v>Bhavesh Corporation</v>
          </cell>
          <cell r="Q537">
            <v>382</v>
          </cell>
          <cell r="R537">
            <v>124379.2</v>
          </cell>
          <cell r="S537">
            <v>44</v>
          </cell>
          <cell r="T537" t="str">
            <v>31-60 Days</v>
          </cell>
          <cell r="U537">
            <v>22</v>
          </cell>
          <cell r="V537" t="str">
            <v>91378601-651, 91380156-652, 91381739-653, 91383289-654, 91384846-655, 91386475-656, 91388097-657, 91389770-658, 91391324-659, 91392922-660, 91394594-661, 91396165-662, 91397825-663, 91399457-664, 91401091-665, 91402700-666, 91404311-667, 91405952-668, 91407567-669, 91409211-670, 91410814-671, 91412398-672</v>
          </cell>
        </row>
        <row r="538">
          <cell r="E538" t="str">
            <v>GPP/57 A</v>
          </cell>
          <cell r="F538">
            <v>1</v>
          </cell>
          <cell r="G538">
            <v>13.5</v>
          </cell>
          <cell r="H538">
            <v>13.5</v>
          </cell>
          <cell r="I538" t="str">
            <v>raisin</v>
          </cell>
          <cell r="J538" t="str">
            <v>raisin - indian</v>
          </cell>
          <cell r="K538"/>
          <cell r="L538"/>
          <cell r="M538" t="str">
            <v>Indian Green Raisins</v>
          </cell>
          <cell r="N538" t="str">
            <v>CFPL</v>
          </cell>
          <cell r="O538" t="str">
            <v>Savla</v>
          </cell>
          <cell r="P538" t="str">
            <v>Bhavesh Corporation</v>
          </cell>
          <cell r="Q538">
            <v>382</v>
          </cell>
          <cell r="R538">
            <v>5157</v>
          </cell>
          <cell r="S538">
            <v>44</v>
          </cell>
          <cell r="T538" t="str">
            <v>31-60 Days</v>
          </cell>
          <cell r="U538">
            <v>1</v>
          </cell>
          <cell r="V538" t="str">
            <v>90737194-76</v>
          </cell>
        </row>
        <row r="539">
          <cell r="E539" t="str">
            <v>GPP/57 A</v>
          </cell>
          <cell r="F539">
            <v>34</v>
          </cell>
          <cell r="G539">
            <v>14.8</v>
          </cell>
          <cell r="H539">
            <v>503.2</v>
          </cell>
          <cell r="I539" t="str">
            <v>raisin</v>
          </cell>
          <cell r="J539" t="str">
            <v>raisin - indian</v>
          </cell>
          <cell r="K539"/>
          <cell r="L539"/>
          <cell r="M539" t="str">
            <v>Indian Green Raisins</v>
          </cell>
          <cell r="N539" t="str">
            <v>CFPL</v>
          </cell>
          <cell r="O539" t="str">
            <v>Savla</v>
          </cell>
          <cell r="P539" t="str">
            <v>Bhavesh Corporation</v>
          </cell>
          <cell r="Q539">
            <v>382</v>
          </cell>
          <cell r="R539">
            <v>192222.4</v>
          </cell>
          <cell r="S539">
            <v>44</v>
          </cell>
          <cell r="T539" t="str">
            <v>31-60 Days</v>
          </cell>
          <cell r="U539">
            <v>34</v>
          </cell>
          <cell r="V539" t="str">
            <v>90738257-77, 90739315-78, 90740484-79, 90742637-81, 90743705-82, 90744730-83, 90745779-84, 90746864-85, 90747924-86, 90748988-87, 90750064-88, 90751080-89, 90753185-91, 90754234-92, 90755279-93, 90756332-94, 90757386-95, 90758438-96, 90759484-97, 90760692-98, 90761739-99, 90762802-100, 90764813-102, 90765813-103, 90766818-104, 90767816-105, 90768832-106, 90769833-107, 90770835-108, 90771836-109, 90772827-110, 90741577-80, 90752145-90, 90763804-101</v>
          </cell>
        </row>
        <row r="540">
          <cell r="E540" t="str">
            <v>GPP/57 B</v>
          </cell>
          <cell r="F540">
            <v>22</v>
          </cell>
          <cell r="G540">
            <v>14.8</v>
          </cell>
          <cell r="H540">
            <v>325.60000000000002</v>
          </cell>
          <cell r="I540" t="str">
            <v>raisin</v>
          </cell>
          <cell r="J540" t="str">
            <v>raisin - indian</v>
          </cell>
          <cell r="K540"/>
          <cell r="L540"/>
          <cell r="M540" t="str">
            <v>Indian Green Raisins</v>
          </cell>
          <cell r="N540" t="str">
            <v>CFPL</v>
          </cell>
          <cell r="O540" t="str">
            <v>Savla</v>
          </cell>
          <cell r="P540" t="str">
            <v>Bhavesh Corporation</v>
          </cell>
          <cell r="Q540">
            <v>382</v>
          </cell>
          <cell r="R540">
            <v>124379.2</v>
          </cell>
          <cell r="S540">
            <v>44</v>
          </cell>
          <cell r="T540" t="str">
            <v>31-60 Days</v>
          </cell>
          <cell r="U540">
            <v>22</v>
          </cell>
          <cell r="V540" t="str">
            <v>90773834-111, 90775831-113, 90776835-114, 90777831-115, 90778833-116, 90779956-117, 90781002-118, 90781986-119, 90782985-120, 90783986-121, 90784982-122, 90787002-124, 90787998-125, 90789021-126, 90790025-127, 90791055-128, 90792077-129, 90793152-130, 90794185-131, 90795249-132, 90774838-112, 90785984-123</v>
          </cell>
        </row>
        <row r="541">
          <cell r="E541" t="str">
            <v>HPK/49 A</v>
          </cell>
          <cell r="F541">
            <v>33</v>
          </cell>
          <cell r="G541">
            <v>14.8</v>
          </cell>
          <cell r="H541">
            <v>488.4</v>
          </cell>
          <cell r="I541" t="str">
            <v>raisin</v>
          </cell>
          <cell r="J541" t="str">
            <v>raisin - indian</v>
          </cell>
          <cell r="K541"/>
          <cell r="L541"/>
          <cell r="M541" t="str">
            <v>Indian Green Raisins</v>
          </cell>
          <cell r="N541" t="str">
            <v>CFPL</v>
          </cell>
          <cell r="O541" t="str">
            <v>Savla</v>
          </cell>
          <cell r="P541" t="str">
            <v>Bhavesh Corporation</v>
          </cell>
          <cell r="Q541">
            <v>382</v>
          </cell>
          <cell r="R541">
            <v>186568.8</v>
          </cell>
          <cell r="S541">
            <v>44</v>
          </cell>
          <cell r="T541" t="str">
            <v>31-60 Days</v>
          </cell>
          <cell r="U541">
            <v>33</v>
          </cell>
          <cell r="V541" t="str">
            <v>91049112-376, 91050187-377, 91051266-378, 91052345-379, 91053531-380, 91054636-381, 91055719-382, 91057883-384, 91058968-385, 91060059-386, 91061119-387, 91062220-388, 91063355-389, 91064417-390, 91065509-391, 91066586-392, 91067674-393, 91069731-395, 91070752-396, 91071790-397, 91072833-398, 91073899-399, 91075021-400, 91076100-401, 91077325-402, 91078405-403, 91079490-404, 91082684-407, 91083735-408, 91081640-406, 91068700-394, 91080579-405, 91056801-383</v>
          </cell>
        </row>
        <row r="542">
          <cell r="E542" t="str">
            <v>HPK/49 B</v>
          </cell>
          <cell r="F542">
            <v>1</v>
          </cell>
          <cell r="G542">
            <v>8.1999999999999993</v>
          </cell>
          <cell r="H542">
            <v>8.1999999999999993</v>
          </cell>
          <cell r="I542" t="str">
            <v>raisin</v>
          </cell>
          <cell r="J542" t="str">
            <v>raisin - indian</v>
          </cell>
          <cell r="K542"/>
          <cell r="L542"/>
          <cell r="M542" t="str">
            <v>Indian Green Raisins</v>
          </cell>
          <cell r="N542" t="str">
            <v>CFPL</v>
          </cell>
          <cell r="O542" t="str">
            <v>Savla</v>
          </cell>
          <cell r="P542" t="str">
            <v>Bhavesh Corporation</v>
          </cell>
          <cell r="Q542">
            <v>382</v>
          </cell>
          <cell r="R542">
            <v>3132.4</v>
          </cell>
          <cell r="S542">
            <v>44</v>
          </cell>
          <cell r="T542" t="str">
            <v>31-60 Days</v>
          </cell>
          <cell r="U542">
            <v>1</v>
          </cell>
          <cell r="V542" t="str">
            <v>91084767-409</v>
          </cell>
        </row>
        <row r="543">
          <cell r="E543" t="str">
            <v>HPK/49 B</v>
          </cell>
          <cell r="F543">
            <v>15</v>
          </cell>
          <cell r="G543">
            <v>14.8</v>
          </cell>
          <cell r="H543">
            <v>222</v>
          </cell>
          <cell r="I543" t="str">
            <v>raisin</v>
          </cell>
          <cell r="J543" t="str">
            <v>raisin - indian</v>
          </cell>
          <cell r="K543"/>
          <cell r="L543"/>
          <cell r="M543" t="str">
            <v>Indian Green Raisins</v>
          </cell>
          <cell r="N543" t="str">
            <v>CFPL</v>
          </cell>
          <cell r="O543" t="str">
            <v>Savla</v>
          </cell>
          <cell r="P543" t="str">
            <v>Bhavesh Corporation</v>
          </cell>
          <cell r="Q543">
            <v>382</v>
          </cell>
          <cell r="R543">
            <v>84804</v>
          </cell>
          <cell r="S543">
            <v>44</v>
          </cell>
          <cell r="T543" t="str">
            <v>31-60 Days</v>
          </cell>
          <cell r="U543">
            <v>15</v>
          </cell>
          <cell r="V543" t="str">
            <v>91085838-410, 91086898-411, 91087922-412, 91088983-413, 91089999-414, 91092070-416, 91093116-417, 91094175-418, 91095245-419, 91096298-420, 91097352-421, 91098401-422, 91099461-423, 91100710-424, 91091034-415</v>
          </cell>
        </row>
        <row r="544">
          <cell r="E544" t="str">
            <v>MRB/101 A</v>
          </cell>
          <cell r="F544">
            <v>1</v>
          </cell>
          <cell r="G544">
            <v>7.3</v>
          </cell>
          <cell r="H544">
            <v>7.3</v>
          </cell>
          <cell r="I544" t="str">
            <v>raisin</v>
          </cell>
          <cell r="J544" t="str">
            <v>raisin - indian</v>
          </cell>
          <cell r="K544"/>
          <cell r="L544"/>
          <cell r="M544" t="str">
            <v>Indian Green Raisins</v>
          </cell>
          <cell r="N544" t="str">
            <v>CFPL</v>
          </cell>
          <cell r="O544" t="str">
            <v>Savla</v>
          </cell>
          <cell r="P544" t="str">
            <v>Bhavesh Corporation</v>
          </cell>
          <cell r="Q544">
            <v>382</v>
          </cell>
          <cell r="R544">
            <v>2788.6</v>
          </cell>
          <cell r="S544">
            <v>44</v>
          </cell>
          <cell r="T544" t="str">
            <v>31-60 Days</v>
          </cell>
          <cell r="U544">
            <v>1</v>
          </cell>
          <cell r="V544" t="str">
            <v>91414019-673</v>
          </cell>
        </row>
        <row r="545">
          <cell r="E545" t="str">
            <v>MRB/101 A</v>
          </cell>
          <cell r="F545">
            <v>37</v>
          </cell>
          <cell r="G545">
            <v>14.8</v>
          </cell>
          <cell r="H545">
            <v>547.6</v>
          </cell>
          <cell r="I545" t="str">
            <v>raisin</v>
          </cell>
          <cell r="J545" t="str">
            <v>raisin - indian</v>
          </cell>
          <cell r="K545"/>
          <cell r="L545"/>
          <cell r="M545" t="str">
            <v>Indian Green Raisins</v>
          </cell>
          <cell r="N545" t="str">
            <v>CFPL</v>
          </cell>
          <cell r="O545" t="str">
            <v>Savla</v>
          </cell>
          <cell r="P545" t="str">
            <v>Bhavesh Corporation</v>
          </cell>
          <cell r="Q545">
            <v>382</v>
          </cell>
          <cell r="R545">
            <v>209183.2</v>
          </cell>
          <cell r="S545">
            <v>44</v>
          </cell>
          <cell r="T545" t="str">
            <v>31-60 Days</v>
          </cell>
          <cell r="U545">
            <v>37</v>
          </cell>
          <cell r="V545" t="str">
            <v>91415673-674, 91417289-675, 91418940-676, 91420514-677, 91422144-678, 91423802-679, 91425401-680, 91427023-681, 91428692-682, 91430312-683, 91431895-684, 91433637-685, 91434855-686, 91436001-687, 91437159-688, 91438287-689, 91439417-690, 91440543-691, 91441693-692, 91442919-693, 91444078-694, 91445699-695, 91447109-696, 91448794-697, 91450521-698, 91452144-699, 91453723-700, 91455133-701, 91456573-702, 91458122-703, 91459712-704, 91461292-705, 91462925-706, 91464611-707, 91466196-708, 91467815-709, 91469440-710</v>
          </cell>
        </row>
        <row r="546">
          <cell r="E546" t="str">
            <v>MRB/101 B</v>
          </cell>
          <cell r="F546">
            <v>1</v>
          </cell>
          <cell r="G546">
            <v>12.9</v>
          </cell>
          <cell r="H546">
            <v>12.9</v>
          </cell>
          <cell r="I546" t="str">
            <v>raisin</v>
          </cell>
          <cell r="J546" t="str">
            <v>raisin - indian</v>
          </cell>
          <cell r="K546"/>
          <cell r="L546"/>
          <cell r="M546" t="str">
            <v>Indian Green Raisins</v>
          </cell>
          <cell r="N546" t="str">
            <v>CFPL</v>
          </cell>
          <cell r="O546" t="str">
            <v>Savla</v>
          </cell>
          <cell r="P546" t="str">
            <v>Bhavesh Corporation</v>
          </cell>
          <cell r="Q546">
            <v>382</v>
          </cell>
          <cell r="R546">
            <v>4927.8</v>
          </cell>
          <cell r="S546">
            <v>44</v>
          </cell>
          <cell r="T546" t="str">
            <v>31-60 Days</v>
          </cell>
          <cell r="U546">
            <v>1</v>
          </cell>
          <cell r="V546" t="str">
            <v>91471064-711</v>
          </cell>
        </row>
        <row r="547">
          <cell r="E547" t="str">
            <v>MRB/101 B</v>
          </cell>
          <cell r="F547">
            <v>12</v>
          </cell>
          <cell r="G547">
            <v>14.8</v>
          </cell>
          <cell r="H547">
            <v>177.6</v>
          </cell>
          <cell r="I547" t="str">
            <v>raisin</v>
          </cell>
          <cell r="J547" t="str">
            <v>raisin - indian</v>
          </cell>
          <cell r="K547"/>
          <cell r="L547"/>
          <cell r="M547" t="str">
            <v>Indian Green Raisins</v>
          </cell>
          <cell r="N547" t="str">
            <v>CFPL</v>
          </cell>
          <cell r="O547" t="str">
            <v>Savla</v>
          </cell>
          <cell r="P547" t="str">
            <v>Bhavesh Corporation</v>
          </cell>
          <cell r="Q547">
            <v>382</v>
          </cell>
          <cell r="R547">
            <v>67843.199999999997</v>
          </cell>
          <cell r="S547">
            <v>44</v>
          </cell>
          <cell r="T547" t="str">
            <v>31-60 Days</v>
          </cell>
          <cell r="U547">
            <v>12</v>
          </cell>
          <cell r="V547" t="str">
            <v>91472695-712, 91474341-713, 91475991-714, 91477594-715, 91479232-716, 91480806-717, 91482438-718, 91484106-719, 91485692-720, 91487314-721, 91489028-722, 91490615-723</v>
          </cell>
        </row>
        <row r="548">
          <cell r="E548" t="str">
            <v>NGP/48 A</v>
          </cell>
          <cell r="F548">
            <v>1</v>
          </cell>
          <cell r="G548">
            <v>11.3</v>
          </cell>
          <cell r="H548">
            <v>11.3</v>
          </cell>
          <cell r="I548" t="str">
            <v>raisin</v>
          </cell>
          <cell r="J548" t="str">
            <v>raisin - indian</v>
          </cell>
          <cell r="K548"/>
          <cell r="L548"/>
          <cell r="M548" t="str">
            <v>Indian Green Raisins</v>
          </cell>
          <cell r="N548" t="str">
            <v>CFPL</v>
          </cell>
          <cell r="O548" t="str">
            <v>Savla</v>
          </cell>
          <cell r="P548" t="str">
            <v>Bhavesh Corporation</v>
          </cell>
          <cell r="Q548">
            <v>382</v>
          </cell>
          <cell r="R548">
            <v>4316.6000000000004</v>
          </cell>
          <cell r="S548">
            <v>44</v>
          </cell>
          <cell r="T548" t="str">
            <v>31-60 Days</v>
          </cell>
          <cell r="U548">
            <v>1</v>
          </cell>
          <cell r="V548" t="str">
            <v>91492236-724</v>
          </cell>
        </row>
        <row r="549">
          <cell r="E549" t="str">
            <v>NGP/48 A</v>
          </cell>
          <cell r="F549">
            <v>32</v>
          </cell>
          <cell r="G549">
            <v>14.8</v>
          </cell>
          <cell r="H549">
            <v>473.6</v>
          </cell>
          <cell r="I549" t="str">
            <v>raisin</v>
          </cell>
          <cell r="J549" t="str">
            <v>raisin - indian</v>
          </cell>
          <cell r="K549"/>
          <cell r="L549"/>
          <cell r="M549" t="str">
            <v>Indian Green Raisins</v>
          </cell>
          <cell r="N549" t="str">
            <v>CFPL</v>
          </cell>
          <cell r="O549" t="str">
            <v>Savla</v>
          </cell>
          <cell r="P549" t="str">
            <v>Bhavesh Corporation</v>
          </cell>
          <cell r="Q549">
            <v>382</v>
          </cell>
          <cell r="R549">
            <v>180915.20000000001</v>
          </cell>
          <cell r="S549">
            <v>44</v>
          </cell>
          <cell r="T549" t="str">
            <v>31-60 Days</v>
          </cell>
          <cell r="U549">
            <v>32</v>
          </cell>
          <cell r="V549" t="str">
            <v>91493855-725, 91495464-726, 91497075-727, 91498770-728, 91500466-729, 91502075-730, 91503718-731, 91505309-732, 91506957-733, 91508558-734, 91510155-735, 91511793-736, 91513383-737, 91515116-738, 91516962-739, 91518243-740, 91519410-741, 91520648-742, 91521946-743, 91523182-744, 91524416-745, 91526107-746, 91527922-747, 91529139-748, 91530333-749, 91531820-750, 91533300-751, 91535015-752, 91536667-753, 91538363-754, 91540182-755, 91541821-756</v>
          </cell>
        </row>
        <row r="550">
          <cell r="E550" t="str">
            <v>NGP/48 B</v>
          </cell>
          <cell r="F550">
            <v>1</v>
          </cell>
          <cell r="G550">
            <v>5.0999999999999996</v>
          </cell>
          <cell r="H550">
            <v>5.0999999999999996</v>
          </cell>
          <cell r="I550" t="str">
            <v>raisin</v>
          </cell>
          <cell r="J550" t="str">
            <v>raisin - indian</v>
          </cell>
          <cell r="K550"/>
          <cell r="L550"/>
          <cell r="M550" t="str">
            <v>Indian Green Raisins</v>
          </cell>
          <cell r="N550" t="str">
            <v>CFPL</v>
          </cell>
          <cell r="O550" t="str">
            <v>Savla</v>
          </cell>
          <cell r="P550" t="str">
            <v>Bhavesh Corporation</v>
          </cell>
          <cell r="Q550">
            <v>382</v>
          </cell>
          <cell r="R550">
            <v>1948.2</v>
          </cell>
          <cell r="S550">
            <v>44</v>
          </cell>
          <cell r="T550" t="str">
            <v>31-60 Days</v>
          </cell>
          <cell r="U550">
            <v>1</v>
          </cell>
          <cell r="V550" t="str">
            <v>91543536-757</v>
          </cell>
        </row>
        <row r="551">
          <cell r="E551" t="str">
            <v>NGP/48 B</v>
          </cell>
          <cell r="F551">
            <v>14</v>
          </cell>
          <cell r="G551">
            <v>14.8</v>
          </cell>
          <cell r="H551">
            <v>207.2</v>
          </cell>
          <cell r="I551" t="str">
            <v>raisin</v>
          </cell>
          <cell r="J551" t="str">
            <v>raisin - indian</v>
          </cell>
          <cell r="K551"/>
          <cell r="L551"/>
          <cell r="M551" t="str">
            <v>Indian Green Raisins</v>
          </cell>
          <cell r="N551" t="str">
            <v>CFPL</v>
          </cell>
          <cell r="O551" t="str">
            <v>Savla</v>
          </cell>
          <cell r="P551" t="str">
            <v>Bhavesh Corporation</v>
          </cell>
          <cell r="Q551">
            <v>382</v>
          </cell>
          <cell r="R551">
            <v>79150.399999999994</v>
          </cell>
          <cell r="S551">
            <v>44</v>
          </cell>
          <cell r="T551" t="str">
            <v>31-60 Days</v>
          </cell>
          <cell r="U551">
            <v>14</v>
          </cell>
          <cell r="V551" t="str">
            <v>91545182-758, 91546884-759, 91548526-760, 91550214-761, 91551878-762, 91553573-763, 91555251-764, 91557054-765, 91558718-766, 91560389-767, 91562122-768, 91563938-769, 91565572-770, 91567256-771</v>
          </cell>
        </row>
        <row r="552">
          <cell r="E552" t="str">
            <v>PHV/57 A</v>
          </cell>
          <cell r="F552">
            <v>1</v>
          </cell>
          <cell r="G552">
            <v>8.4</v>
          </cell>
          <cell r="H552">
            <v>8.4</v>
          </cell>
          <cell r="I552" t="str">
            <v>raisin</v>
          </cell>
          <cell r="J552" t="str">
            <v>raisin - indian</v>
          </cell>
          <cell r="K552"/>
          <cell r="L552"/>
          <cell r="M552" t="str">
            <v>Indian Green Raisins</v>
          </cell>
          <cell r="N552" t="str">
            <v>CFPL</v>
          </cell>
          <cell r="O552" t="str">
            <v>Savla</v>
          </cell>
          <cell r="P552" t="str">
            <v>Bhavesh Corporation</v>
          </cell>
          <cell r="Q552">
            <v>382</v>
          </cell>
          <cell r="R552">
            <v>3208.8</v>
          </cell>
          <cell r="S552">
            <v>44</v>
          </cell>
          <cell r="T552" t="str">
            <v>31-60 Days</v>
          </cell>
          <cell r="U552">
            <v>1</v>
          </cell>
          <cell r="V552" t="str">
            <v>91101813-425</v>
          </cell>
        </row>
        <row r="553">
          <cell r="E553" t="str">
            <v>PHV/57 A</v>
          </cell>
          <cell r="F553">
            <v>40</v>
          </cell>
          <cell r="G553">
            <v>14.8</v>
          </cell>
          <cell r="H553">
            <v>592</v>
          </cell>
          <cell r="I553" t="str">
            <v>raisin</v>
          </cell>
          <cell r="J553" t="str">
            <v>raisin - indian</v>
          </cell>
          <cell r="K553"/>
          <cell r="L553"/>
          <cell r="M553" t="str">
            <v>Indian Green Raisins</v>
          </cell>
          <cell r="N553" t="str">
            <v>CFPL</v>
          </cell>
          <cell r="O553" t="str">
            <v>Savla</v>
          </cell>
          <cell r="P553" t="str">
            <v>Bhavesh Corporation</v>
          </cell>
          <cell r="Q553">
            <v>382</v>
          </cell>
          <cell r="R553">
            <v>226144</v>
          </cell>
          <cell r="S553">
            <v>44</v>
          </cell>
          <cell r="T553" t="str">
            <v>31-60 Days</v>
          </cell>
          <cell r="U553">
            <v>40</v>
          </cell>
          <cell r="V553" t="str">
            <v>91103941-427, 91104974-428, 91106017-429, 91107053-430, 91108124-431, 91109131-432, 91110174-433, 91111209-434, 91112247-435, 91113288-436, 91115372-438, 91116403-439, 91117437-440, 91118472-441, 91119539-442, 91120556-443, 91121625-444, 91122687-445, 91123970-446, 91125038-447, 91126091-448, 91127140-449, 91128183-450, 91129257-451, 91130320-452, 91131418-453, 91132517-454, 91133624-455, 91134717-456, 91135801-457, 91136886-458, 91137971-459, 91139007-460, 91140041-461, 91141083-462, 91142125-463, 91143168-464, 91144215-465, 91102891-426, 91114330-437</v>
          </cell>
        </row>
        <row r="554">
          <cell r="E554" t="str">
            <v>PHV/57 B</v>
          </cell>
          <cell r="F554">
            <v>1</v>
          </cell>
          <cell r="G554">
            <v>11.6</v>
          </cell>
          <cell r="H554">
            <v>11.6</v>
          </cell>
          <cell r="I554" t="str">
            <v>raisin</v>
          </cell>
          <cell r="J554" t="str">
            <v>raisin - indian</v>
          </cell>
          <cell r="K554"/>
          <cell r="L554"/>
          <cell r="M554" t="str">
            <v>Indian Green Raisins</v>
          </cell>
          <cell r="N554" t="str">
            <v>CFPL</v>
          </cell>
          <cell r="O554" t="str">
            <v>Savla</v>
          </cell>
          <cell r="P554" t="str">
            <v>Bhavesh Corporation</v>
          </cell>
          <cell r="Q554">
            <v>382</v>
          </cell>
          <cell r="R554">
            <v>4431.2</v>
          </cell>
          <cell r="S554">
            <v>44</v>
          </cell>
          <cell r="T554" t="str">
            <v>31-60 Days</v>
          </cell>
          <cell r="U554">
            <v>1</v>
          </cell>
          <cell r="V554" t="str">
            <v>91145265-466</v>
          </cell>
        </row>
        <row r="555">
          <cell r="E555" t="str">
            <v>PHV/57 B</v>
          </cell>
          <cell r="F555">
            <v>15</v>
          </cell>
          <cell r="G555">
            <v>14.8</v>
          </cell>
          <cell r="H555">
            <v>222</v>
          </cell>
          <cell r="I555" t="str">
            <v>raisin</v>
          </cell>
          <cell r="J555" t="str">
            <v>raisin - indian</v>
          </cell>
          <cell r="K555"/>
          <cell r="L555"/>
          <cell r="M555" t="str">
            <v>Indian Green Raisins</v>
          </cell>
          <cell r="N555" t="str">
            <v>CFPL</v>
          </cell>
          <cell r="O555" t="str">
            <v>Savla</v>
          </cell>
          <cell r="P555" t="str">
            <v>Bhavesh Corporation</v>
          </cell>
          <cell r="Q555">
            <v>382</v>
          </cell>
          <cell r="R555">
            <v>84804</v>
          </cell>
          <cell r="S555">
            <v>44</v>
          </cell>
          <cell r="T555" t="str">
            <v>31-60 Days</v>
          </cell>
          <cell r="U555">
            <v>15</v>
          </cell>
          <cell r="V555" t="str">
            <v>91146305-467, 91147469-468, 91148542-469, 91149678-470, 91150702-471, 91151772-472, 91152929-473, 91154031-474, 91155140-475, 91156244-476, 91157369-477, 91158474-478, 91159570-479, 91160620-480, 91161677-481</v>
          </cell>
        </row>
        <row r="556">
          <cell r="E556" t="str">
            <v>SMT/53 A</v>
          </cell>
          <cell r="F556">
            <v>1</v>
          </cell>
          <cell r="G556">
            <v>13.6</v>
          </cell>
          <cell r="H556">
            <v>13.6</v>
          </cell>
          <cell r="I556" t="str">
            <v>raisin</v>
          </cell>
          <cell r="J556" t="str">
            <v>raisin - indian</v>
          </cell>
          <cell r="K556"/>
          <cell r="L556"/>
          <cell r="M556" t="str">
            <v>Indian Green Raisins</v>
          </cell>
          <cell r="N556" t="str">
            <v>CFPL</v>
          </cell>
          <cell r="O556" t="str">
            <v>Savla</v>
          </cell>
          <cell r="P556" t="str">
            <v>Bhavesh Corporation</v>
          </cell>
          <cell r="Q556">
            <v>382</v>
          </cell>
          <cell r="R556">
            <v>5195.2</v>
          </cell>
          <cell r="S556">
            <v>44</v>
          </cell>
          <cell r="T556" t="str">
            <v>31-60 Days</v>
          </cell>
          <cell r="U556">
            <v>1</v>
          </cell>
          <cell r="V556" t="str">
            <v>90943793-275</v>
          </cell>
        </row>
        <row r="557">
          <cell r="E557" t="str">
            <v>SMT/53 A</v>
          </cell>
          <cell r="F557">
            <v>42</v>
          </cell>
          <cell r="G557">
            <v>14.8</v>
          </cell>
          <cell r="H557">
            <v>621.6</v>
          </cell>
          <cell r="I557" t="str">
            <v>raisin</v>
          </cell>
          <cell r="J557" t="str">
            <v>raisin - indian</v>
          </cell>
          <cell r="K557"/>
          <cell r="L557"/>
          <cell r="M557" t="str">
            <v>Indian Green Raisins</v>
          </cell>
          <cell r="N557" t="str">
            <v>CFPL</v>
          </cell>
          <cell r="O557" t="str">
            <v>Savla</v>
          </cell>
          <cell r="P557" t="str">
            <v>Bhavesh Corporation</v>
          </cell>
          <cell r="Q557">
            <v>382</v>
          </cell>
          <cell r="R557">
            <v>237451.2</v>
          </cell>
          <cell r="S557">
            <v>44</v>
          </cell>
          <cell r="T557" t="str">
            <v>31-60 Days</v>
          </cell>
          <cell r="U557">
            <v>42</v>
          </cell>
          <cell r="V557" t="str">
            <v>90944829-276, 90945857-277, 90946876-278, 90947893-279, 90948910-280, 90949929-281, 90950994-282, 90952069-283, 90953147-284, 90955293-286, 90956331-287, 90957382-288, 90958450-289, 90959510-290, 90960583-291, 90961593-292, 90962636-293, 90963704-294, 90964766-295, 90967021-297, 90968105-298, 90969182-299, 90970250-300, 90971320-301, 90972342-302, 90973362-303, 90974380-304, 90975410-305, 90976427-306, 90978463-308, 90979486-309, 90980498-310, 90981528-311, 90982544-312, 90983585-313, 90984610-314, 90985652-315, 90986650-316, 90987814-317, 90954211-285, 90965958-296, 90977444-307</v>
          </cell>
        </row>
        <row r="558">
          <cell r="E558" t="str">
            <v>SMT/53 B</v>
          </cell>
          <cell r="F558">
            <v>1</v>
          </cell>
          <cell r="G558">
            <v>10.4</v>
          </cell>
          <cell r="H558">
            <v>10.4</v>
          </cell>
          <cell r="I558" t="str">
            <v>raisin</v>
          </cell>
          <cell r="J558" t="str">
            <v>raisin - indian</v>
          </cell>
          <cell r="K558"/>
          <cell r="L558"/>
          <cell r="M558" t="str">
            <v>Indian Green Raisins</v>
          </cell>
          <cell r="N558" t="str">
            <v>CFPL</v>
          </cell>
          <cell r="O558" t="str">
            <v>Savla</v>
          </cell>
          <cell r="P558" t="str">
            <v>Bhavesh Corporation</v>
          </cell>
          <cell r="Q558">
            <v>382</v>
          </cell>
          <cell r="R558">
            <v>3972.8</v>
          </cell>
          <cell r="S558">
            <v>44</v>
          </cell>
          <cell r="T558" t="str">
            <v>31-60 Days</v>
          </cell>
          <cell r="U558">
            <v>1</v>
          </cell>
          <cell r="V558" t="str">
            <v>90988855-318</v>
          </cell>
        </row>
        <row r="559">
          <cell r="E559" t="str">
            <v>SMT/53 B</v>
          </cell>
          <cell r="F559">
            <v>9</v>
          </cell>
          <cell r="G559">
            <v>14.8</v>
          </cell>
          <cell r="H559">
            <v>133.19999999999999</v>
          </cell>
          <cell r="I559" t="str">
            <v>raisin</v>
          </cell>
          <cell r="J559" t="str">
            <v>raisin - indian</v>
          </cell>
          <cell r="K559"/>
          <cell r="L559"/>
          <cell r="M559" t="str">
            <v>Indian Green Raisins</v>
          </cell>
          <cell r="N559" t="str">
            <v>CFPL</v>
          </cell>
          <cell r="O559" t="str">
            <v>Savla</v>
          </cell>
          <cell r="P559" t="str">
            <v>Bhavesh Corporation</v>
          </cell>
          <cell r="Q559">
            <v>382</v>
          </cell>
          <cell r="R559">
            <v>50882.400000000001</v>
          </cell>
          <cell r="S559">
            <v>44</v>
          </cell>
          <cell r="T559" t="str">
            <v>31-60 Days</v>
          </cell>
          <cell r="U559">
            <v>9</v>
          </cell>
          <cell r="V559" t="str">
            <v>90989894-319, 90990940-320, 90991970-321, 90992992-322, 90994020-323, 90995042-324, 90996089-325, 90997095-326, 90998122-327</v>
          </cell>
        </row>
        <row r="560">
          <cell r="E560" t="str">
            <v>SVR/62 A</v>
          </cell>
          <cell r="F560">
            <v>1</v>
          </cell>
          <cell r="G560">
            <v>9.1</v>
          </cell>
          <cell r="H560">
            <v>9.1</v>
          </cell>
          <cell r="I560" t="str">
            <v>raisin</v>
          </cell>
          <cell r="J560" t="str">
            <v>raisin - indian</v>
          </cell>
          <cell r="K560"/>
          <cell r="L560"/>
          <cell r="M560" t="str">
            <v>Indian Green Raisins</v>
          </cell>
          <cell r="N560" t="str">
            <v>CFPL</v>
          </cell>
          <cell r="O560" t="str">
            <v>Savla</v>
          </cell>
          <cell r="P560" t="str">
            <v>Bhavesh Corporation</v>
          </cell>
          <cell r="Q560">
            <v>382</v>
          </cell>
          <cell r="R560">
            <v>3476.2</v>
          </cell>
          <cell r="S560">
            <v>44</v>
          </cell>
          <cell r="T560" t="str">
            <v>31-60 Days</v>
          </cell>
          <cell r="U560">
            <v>1</v>
          </cell>
          <cell r="V560" t="str">
            <v>91568920-772</v>
          </cell>
        </row>
        <row r="561">
          <cell r="E561" t="str">
            <v>SVR/62 A</v>
          </cell>
          <cell r="F561">
            <v>50</v>
          </cell>
          <cell r="G561">
            <v>14.8</v>
          </cell>
          <cell r="H561">
            <v>740</v>
          </cell>
          <cell r="I561" t="str">
            <v>raisin</v>
          </cell>
          <cell r="J561" t="str">
            <v>raisin - indian</v>
          </cell>
          <cell r="K561"/>
          <cell r="L561"/>
          <cell r="M561" t="str">
            <v>Indian Green Raisins</v>
          </cell>
          <cell r="N561" t="str">
            <v>CFPL</v>
          </cell>
          <cell r="O561" t="str">
            <v>Savla</v>
          </cell>
          <cell r="P561" t="str">
            <v>Bhavesh Corporation</v>
          </cell>
          <cell r="Q561">
            <v>382</v>
          </cell>
          <cell r="R561">
            <v>282680</v>
          </cell>
          <cell r="S561">
            <v>44</v>
          </cell>
          <cell r="T561" t="str">
            <v>31-60 Days</v>
          </cell>
          <cell r="U561">
            <v>50</v>
          </cell>
          <cell r="V561" t="str">
            <v>91570602-773, 91572292-774, 91574042-775, 91575262-776, 91576452-777, 91577628-778, 91578877-779, 91580182-780, 91581170-781, 91582369-782, 91583644-783, 91584880-784, 91586100-785, 91587284-786, 91588569-787, 91589779-788, 91590935-789, 91592194-790, 91593384-791, 91594570-792, 91595758-793, 91597011-794, 91598193-795, 91600617-797, 91601816-798, 91603045-799, 91604313-800, 91605489-801, 91606643-802, 91607810-803, 91609060-804, 91610266-805, 91611475-806, 91612675-807, 91613957-808, 91615175-809, 91616419-810, 91618157-811, 91619830-812, 91621545-813, 91623342-814, 91625170-815, 91626886-816, 91628574-817, 91630239-818, 91631890-819, 91633555-820, 91635225-821, 91636889-822, 91599341-796</v>
          </cell>
        </row>
        <row r="562">
          <cell r="E562" t="str">
            <v>SVR/62 B</v>
          </cell>
          <cell r="F562">
            <v>1</v>
          </cell>
          <cell r="G562">
            <v>6.2</v>
          </cell>
          <cell r="H562">
            <v>6.2</v>
          </cell>
          <cell r="I562" t="str">
            <v>raisin</v>
          </cell>
          <cell r="J562" t="str">
            <v>raisin - indian</v>
          </cell>
          <cell r="K562"/>
          <cell r="L562"/>
          <cell r="M562" t="str">
            <v>Indian Green Raisins</v>
          </cell>
          <cell r="N562" t="str">
            <v>CFPL</v>
          </cell>
          <cell r="O562" t="str">
            <v>Savla</v>
          </cell>
          <cell r="P562" t="str">
            <v>Bhavesh Corporation</v>
          </cell>
          <cell r="Q562">
            <v>382</v>
          </cell>
          <cell r="R562">
            <v>2368.4</v>
          </cell>
          <cell r="S562">
            <v>44</v>
          </cell>
          <cell r="T562" t="str">
            <v>31-60 Days</v>
          </cell>
          <cell r="U562">
            <v>1</v>
          </cell>
          <cell r="V562" t="str">
            <v>91638600-823</v>
          </cell>
        </row>
        <row r="563">
          <cell r="E563" t="str">
            <v>SVR/62 B</v>
          </cell>
          <cell r="F563">
            <v>11</v>
          </cell>
          <cell r="G563">
            <v>14.8</v>
          </cell>
          <cell r="H563">
            <v>162.80000000000001</v>
          </cell>
          <cell r="I563" t="str">
            <v>raisin</v>
          </cell>
          <cell r="J563" t="str">
            <v>raisin - indian</v>
          </cell>
          <cell r="K563"/>
          <cell r="L563"/>
          <cell r="M563" t="str">
            <v>Indian Green Raisins</v>
          </cell>
          <cell r="N563" t="str">
            <v>CFPL</v>
          </cell>
          <cell r="O563" t="str">
            <v>Savla</v>
          </cell>
          <cell r="P563" t="str">
            <v>Bhavesh Corporation</v>
          </cell>
          <cell r="Q563">
            <v>382</v>
          </cell>
          <cell r="R563">
            <v>62189.599999999999</v>
          </cell>
          <cell r="S563">
            <v>44</v>
          </cell>
          <cell r="T563" t="str">
            <v>31-60 Days</v>
          </cell>
          <cell r="U563">
            <v>11</v>
          </cell>
          <cell r="V563" t="str">
            <v>91640361-824, 91642029-825, 91643705-826, 91645382-827, 91647058-828, 91648725-829, 91650423-830, 91652099-831, 91653971-832, 91655662-833, 91657322-834</v>
          </cell>
        </row>
        <row r="564">
          <cell r="E564" t="str">
            <v>SYJ/58 A</v>
          </cell>
          <cell r="F564">
            <v>1</v>
          </cell>
          <cell r="G564">
            <v>12.2</v>
          </cell>
          <cell r="H564">
            <v>12.2</v>
          </cell>
          <cell r="I564" t="str">
            <v>raisin</v>
          </cell>
          <cell r="J564" t="str">
            <v>raisin - indian</v>
          </cell>
          <cell r="K564"/>
          <cell r="L564"/>
          <cell r="M564" t="str">
            <v>Indian Green Raisins</v>
          </cell>
          <cell r="N564" t="str">
            <v>CFPL</v>
          </cell>
          <cell r="O564" t="str">
            <v>Savla</v>
          </cell>
          <cell r="P564" t="str">
            <v>Bhavesh Corporation</v>
          </cell>
          <cell r="Q564">
            <v>382</v>
          </cell>
          <cell r="R564">
            <v>4660.3999999999996</v>
          </cell>
          <cell r="S564">
            <v>44</v>
          </cell>
          <cell r="T564" t="str">
            <v>31-60 Days</v>
          </cell>
          <cell r="U564">
            <v>1</v>
          </cell>
          <cell r="V564" t="str">
            <v>91162723-482</v>
          </cell>
        </row>
        <row r="565">
          <cell r="E565" t="str">
            <v>SYJ/58 A</v>
          </cell>
          <cell r="F565">
            <v>44</v>
          </cell>
          <cell r="G565">
            <v>14.8</v>
          </cell>
          <cell r="H565">
            <v>651.20000000000005</v>
          </cell>
          <cell r="I565" t="str">
            <v>raisin</v>
          </cell>
          <cell r="J565" t="str">
            <v>raisin - indian</v>
          </cell>
          <cell r="K565"/>
          <cell r="L565"/>
          <cell r="M565" t="str">
            <v>Indian Green Raisins</v>
          </cell>
          <cell r="N565" t="str">
            <v>CFPL</v>
          </cell>
          <cell r="O565" t="str">
            <v>Savla</v>
          </cell>
          <cell r="P565" t="str">
            <v>Bhavesh Corporation</v>
          </cell>
          <cell r="Q565">
            <v>382</v>
          </cell>
          <cell r="R565">
            <v>248758.39999999999</v>
          </cell>
          <cell r="S565">
            <v>44</v>
          </cell>
          <cell r="T565" t="str">
            <v>31-60 Days</v>
          </cell>
          <cell r="U565">
            <v>44</v>
          </cell>
          <cell r="V565" t="str">
            <v>91163767-483, 91164814-484, 91165858-485, 91166904-486, 91167960-487, 91169094-488, 91170121-489, 91171284-490, 91172418-491, 91173530-492, 91174635-493, 91175738-494, 91176837-495, 91177934-496, 91179083-497, 91180173-498, 91181259-499, 91182361-500, 91183468-501, 91184539-502, 91185594-503, 91186638-504, 91187689-505, 91188741-506, 91189809-507, 91190846-508, 91191911-509, 91192974-510, 91194036-511, 91195240-512, 91196314-513, 91197391-514, 91198438-515, 91199492-516, 91200545-517, 91201604-518, 91202657-519, 91203755-520, 91204895-521, 91206019-522, 91207081-523, 91208214-524, 91209276-525, 91210365-526</v>
          </cell>
        </row>
        <row r="566">
          <cell r="E566" t="str">
            <v>SYJ/58 B</v>
          </cell>
          <cell r="F566">
            <v>11</v>
          </cell>
          <cell r="G566">
            <v>14.8</v>
          </cell>
          <cell r="H566">
            <v>162.80000000000001</v>
          </cell>
          <cell r="I566" t="str">
            <v>raisin</v>
          </cell>
          <cell r="J566" t="str">
            <v>raisin - indian</v>
          </cell>
          <cell r="K566"/>
          <cell r="L566"/>
          <cell r="M566" t="str">
            <v>Indian Green Raisins</v>
          </cell>
          <cell r="N566" t="str">
            <v>CFPL</v>
          </cell>
          <cell r="O566" t="str">
            <v>Savla</v>
          </cell>
          <cell r="P566" t="str">
            <v>Bhavesh Corporation</v>
          </cell>
          <cell r="Q566">
            <v>382</v>
          </cell>
          <cell r="R566">
            <v>62189.599999999999</v>
          </cell>
          <cell r="S566">
            <v>44</v>
          </cell>
          <cell r="T566" t="str">
            <v>31-60 Days</v>
          </cell>
          <cell r="U566">
            <v>11</v>
          </cell>
          <cell r="V566" t="str">
            <v>91212440-528, 91213493-529, 91214554-530, 91215606-531, 91216691-532, 91217755-533, 91218944-534, 91220121-535, 91221120-536, 91222195-537, 91223279-538</v>
          </cell>
        </row>
        <row r="567">
          <cell r="E567" t="str">
            <v>SYJ/58 B</v>
          </cell>
          <cell r="F567">
            <v>1</v>
          </cell>
          <cell r="G567">
            <v>17.899999999999999</v>
          </cell>
          <cell r="H567">
            <v>17.899999999999999</v>
          </cell>
          <cell r="I567" t="str">
            <v>raisin</v>
          </cell>
          <cell r="J567" t="str">
            <v>raisin - indian</v>
          </cell>
          <cell r="K567"/>
          <cell r="L567"/>
          <cell r="M567" t="str">
            <v>Indian Green Raisins</v>
          </cell>
          <cell r="N567" t="str">
            <v>CFPL</v>
          </cell>
          <cell r="O567" t="str">
            <v>Savla</v>
          </cell>
          <cell r="P567" t="str">
            <v>Bhavesh Corporation</v>
          </cell>
          <cell r="Q567">
            <v>382</v>
          </cell>
          <cell r="R567">
            <v>6837.8</v>
          </cell>
          <cell r="S567">
            <v>44</v>
          </cell>
          <cell r="T567" t="str">
            <v>31-60 Days</v>
          </cell>
          <cell r="U567">
            <v>1</v>
          </cell>
          <cell r="V567" t="str">
            <v>91211389-527</v>
          </cell>
        </row>
        <row r="568">
          <cell r="E568" t="str">
            <v>SYJ/61 A</v>
          </cell>
          <cell r="F568">
            <v>1</v>
          </cell>
          <cell r="G568">
            <v>3.2</v>
          </cell>
          <cell r="H568">
            <v>3.2</v>
          </cell>
          <cell r="I568" t="str">
            <v>raisin</v>
          </cell>
          <cell r="J568" t="str">
            <v>raisin - indian</v>
          </cell>
          <cell r="K568"/>
          <cell r="L568"/>
          <cell r="M568" t="str">
            <v>Indian Green Raisins</v>
          </cell>
          <cell r="N568" t="str">
            <v>CFPL</v>
          </cell>
          <cell r="O568" t="str">
            <v>Savla</v>
          </cell>
          <cell r="P568" t="str">
            <v>Bhavesh Corporation</v>
          </cell>
          <cell r="Q568">
            <v>382</v>
          </cell>
          <cell r="R568">
            <v>1222.4000000000001</v>
          </cell>
          <cell r="S568">
            <v>44</v>
          </cell>
          <cell r="T568" t="str">
            <v>31-60 Days</v>
          </cell>
          <cell r="U568">
            <v>1</v>
          </cell>
          <cell r="V568" t="str">
            <v>91224328-539</v>
          </cell>
        </row>
        <row r="569">
          <cell r="E569" t="str">
            <v>SYJ/61 A</v>
          </cell>
          <cell r="F569">
            <v>48</v>
          </cell>
          <cell r="G569">
            <v>14.8</v>
          </cell>
          <cell r="H569">
            <v>710.4</v>
          </cell>
          <cell r="I569" t="str">
            <v>raisin</v>
          </cell>
          <cell r="J569" t="str">
            <v>raisin - indian</v>
          </cell>
          <cell r="K569"/>
          <cell r="L569"/>
          <cell r="M569" t="str">
            <v>Indian Green Raisins</v>
          </cell>
          <cell r="N569" t="str">
            <v>CFPL</v>
          </cell>
          <cell r="O569" t="str">
            <v>Savla</v>
          </cell>
          <cell r="P569" t="str">
            <v>Bhavesh Corporation</v>
          </cell>
          <cell r="Q569">
            <v>382</v>
          </cell>
          <cell r="R569">
            <v>271372.79999999999</v>
          </cell>
          <cell r="S569">
            <v>44</v>
          </cell>
          <cell r="T569" t="str">
            <v>31-60 Days</v>
          </cell>
          <cell r="U569">
            <v>48</v>
          </cell>
          <cell r="V569" t="str">
            <v>91225393-540, 91226476-541, 91227546-542, 91228606-543, 91229742-544, 91230854-545, 91231977-546, 91233145-547, 91234233-548, 91235305-549, 91236376-550, 91237430-551, 91238539-552, 91239608-553, 91240673-554, 91241741-555, 91242814-556, 91243880-557, 91245162-558, 91246246-559, 91247331-560, 91248466-561, 91249544-562, 91250610-563, 91251697-564, 91252739-565, 91253812-566, 91254894-567, 91255986-568, 91257069-569, 91258196-570, 91259293-571, 91260436-572, 91261522-573, 91262640-574, 91263748-575, 91264809-576, 91265870-577, 91266960-578, 91268037-579, 91269143-580, 91270353-581, 91271475-582, 91272678-583, 91273778-584, 91274895-585, 91275995-586, 91277067-587</v>
          </cell>
        </row>
        <row r="570">
          <cell r="E570" t="str">
            <v>SYJ/61 B</v>
          </cell>
          <cell r="F570">
            <v>1</v>
          </cell>
          <cell r="G570">
            <v>11.8</v>
          </cell>
          <cell r="H570">
            <v>11.8</v>
          </cell>
          <cell r="I570" t="str">
            <v>raisin</v>
          </cell>
          <cell r="J570" t="str">
            <v>raisin - indian</v>
          </cell>
          <cell r="K570"/>
          <cell r="L570"/>
          <cell r="M570" t="str">
            <v>Indian Green Raisins</v>
          </cell>
          <cell r="N570" t="str">
            <v>CFPL</v>
          </cell>
          <cell r="O570" t="str">
            <v>Savla</v>
          </cell>
          <cell r="P570" t="str">
            <v>Bhavesh Corporation</v>
          </cell>
          <cell r="Q570">
            <v>382</v>
          </cell>
          <cell r="R570">
            <v>4507.6000000000004</v>
          </cell>
          <cell r="S570">
            <v>44</v>
          </cell>
          <cell r="T570" t="str">
            <v>31-60 Days</v>
          </cell>
          <cell r="U570">
            <v>1</v>
          </cell>
          <cell r="V570" t="str">
            <v>91278149-588</v>
          </cell>
        </row>
        <row r="571">
          <cell r="E571" t="str">
            <v>SYJ/61 B</v>
          </cell>
          <cell r="F571">
            <v>11</v>
          </cell>
          <cell r="G571">
            <v>14.8</v>
          </cell>
          <cell r="H571">
            <v>162.80000000000001</v>
          </cell>
          <cell r="I571" t="str">
            <v>raisin</v>
          </cell>
          <cell r="J571" t="str">
            <v>raisin - indian</v>
          </cell>
          <cell r="K571"/>
          <cell r="L571"/>
          <cell r="M571" t="str">
            <v>Indian Green Raisins</v>
          </cell>
          <cell r="N571" t="str">
            <v>CFPL</v>
          </cell>
          <cell r="O571" t="str">
            <v>Savla</v>
          </cell>
          <cell r="P571" t="str">
            <v>Bhavesh Corporation</v>
          </cell>
          <cell r="Q571">
            <v>382</v>
          </cell>
          <cell r="R571">
            <v>62189.599999999999</v>
          </cell>
          <cell r="S571">
            <v>44</v>
          </cell>
          <cell r="T571" t="str">
            <v>31-60 Days</v>
          </cell>
          <cell r="U571">
            <v>11</v>
          </cell>
          <cell r="V571" t="str">
            <v>91279750-589, 91281253-590, 91282730-591, 91284274-592, 91285821-593, 91287372-594, 91288946-595, 91290486-596, 91292084-597, 91293634-598, 91295157-599</v>
          </cell>
        </row>
        <row r="572">
          <cell r="E572" t="str">
            <v>VTM/47 A</v>
          </cell>
          <cell r="F572">
            <v>1</v>
          </cell>
          <cell r="G572">
            <v>8.8000000000000007</v>
          </cell>
          <cell r="H572">
            <v>8.8000000000000007</v>
          </cell>
          <cell r="I572" t="str">
            <v>raisin</v>
          </cell>
          <cell r="J572" t="str">
            <v>raisin - indian</v>
          </cell>
          <cell r="K572"/>
          <cell r="L572"/>
          <cell r="M572" t="str">
            <v>Indian Green Raisins</v>
          </cell>
          <cell r="N572" t="str">
            <v>CFPL</v>
          </cell>
          <cell r="O572" t="str">
            <v>Savla</v>
          </cell>
          <cell r="P572" t="str">
            <v>Bhavesh Corporation</v>
          </cell>
          <cell r="Q572">
            <v>382</v>
          </cell>
          <cell r="R572">
            <v>3361.6</v>
          </cell>
          <cell r="S572">
            <v>44</v>
          </cell>
          <cell r="T572" t="str">
            <v>31-60 Days</v>
          </cell>
          <cell r="U572">
            <v>1</v>
          </cell>
          <cell r="V572" t="str">
            <v>90999129-328</v>
          </cell>
        </row>
        <row r="573">
          <cell r="E573" t="str">
            <v>VTM/47 A</v>
          </cell>
          <cell r="F573">
            <v>28</v>
          </cell>
          <cell r="G573">
            <v>14.8</v>
          </cell>
          <cell r="H573">
            <v>414.4</v>
          </cell>
          <cell r="I573" t="str">
            <v>raisin</v>
          </cell>
          <cell r="J573" t="str">
            <v>raisin - indian</v>
          </cell>
          <cell r="K573"/>
          <cell r="L573"/>
          <cell r="M573" t="str">
            <v>Indian Green Raisins</v>
          </cell>
          <cell r="N573" t="str">
            <v>CFPL</v>
          </cell>
          <cell r="O573" t="str">
            <v>Savla</v>
          </cell>
          <cell r="P573" t="str">
            <v>Bhavesh Corporation</v>
          </cell>
          <cell r="Q573">
            <v>382</v>
          </cell>
          <cell r="R573">
            <v>158300.79999999999</v>
          </cell>
          <cell r="S573">
            <v>44</v>
          </cell>
          <cell r="T573" t="str">
            <v>31-60 Days</v>
          </cell>
          <cell r="U573">
            <v>28</v>
          </cell>
          <cell r="V573" t="str">
            <v>91001226-330, 91002302-331, 91003329-332, 91004356-333, 91005383-334, 91006405-335, 91007410-336, 91008437-337, 91009569-338, 91010616-339, 91012677-341, 91013719-342, 91014717-343, 91015734-344, 91016760-345, 91017778-346, 91018816-347, 91019840-348, 91020860-349, 91022947-351, 91023967-352, 91025000-353, 91026067-354, 91027151-355, 91028197-356, 91000154-329, 91011648-340, 91021919-350</v>
          </cell>
        </row>
        <row r="574">
          <cell r="E574" t="str">
            <v>VTM/47 B</v>
          </cell>
          <cell r="F574">
            <v>1</v>
          </cell>
          <cell r="G574">
            <v>4.8</v>
          </cell>
          <cell r="H574">
            <v>4.8</v>
          </cell>
          <cell r="I574" t="str">
            <v>raisin</v>
          </cell>
          <cell r="J574" t="str">
            <v>raisin - indian</v>
          </cell>
          <cell r="K574"/>
          <cell r="L574"/>
          <cell r="M574" t="str">
            <v>Indian Green Raisins</v>
          </cell>
          <cell r="N574" t="str">
            <v>CFPL</v>
          </cell>
          <cell r="O574" t="str">
            <v>Savla</v>
          </cell>
          <cell r="P574" t="str">
            <v>Bhavesh Corporation</v>
          </cell>
          <cell r="Q574">
            <v>382</v>
          </cell>
          <cell r="R574">
            <v>1833.6</v>
          </cell>
          <cell r="S574">
            <v>44</v>
          </cell>
          <cell r="T574" t="str">
            <v>31-60 Days</v>
          </cell>
          <cell r="U574">
            <v>1</v>
          </cell>
          <cell r="V574" t="str">
            <v>91029202-357</v>
          </cell>
        </row>
        <row r="575">
          <cell r="E575" t="str">
            <v>VTM/47 B</v>
          </cell>
          <cell r="F575">
            <v>18</v>
          </cell>
          <cell r="G575">
            <v>14.8</v>
          </cell>
          <cell r="H575">
            <v>266.39999999999998</v>
          </cell>
          <cell r="I575" t="str">
            <v>raisin</v>
          </cell>
          <cell r="J575" t="str">
            <v>raisin - indian</v>
          </cell>
          <cell r="K575"/>
          <cell r="L575"/>
          <cell r="M575" t="str">
            <v>Indian Green Raisins</v>
          </cell>
          <cell r="N575" t="str">
            <v>CFPL</v>
          </cell>
          <cell r="O575" t="str">
            <v>Savla</v>
          </cell>
          <cell r="P575" t="str">
            <v>Bhavesh Corporation</v>
          </cell>
          <cell r="Q575">
            <v>382</v>
          </cell>
          <cell r="R575">
            <v>101764.8</v>
          </cell>
          <cell r="S575">
            <v>44</v>
          </cell>
          <cell r="T575" t="str">
            <v>31-60 Days</v>
          </cell>
          <cell r="U575">
            <v>18</v>
          </cell>
          <cell r="V575" t="str">
            <v>91030237-358, 91031387-359, 91032431-360, 91034497-362, 91035555-363, 91036550-364, 91037601-365, 91038630-366, 91039669-367, 91040698-368, 91041732-369, 91042754-370, 91043788-371, 91045881-373, 91046973-374, 91048035-375, 91033472-361, 91044819-372</v>
          </cell>
        </row>
        <row r="576">
          <cell r="E576"/>
          <cell r="F576">
            <v>1</v>
          </cell>
          <cell r="G576">
            <v>3.9</v>
          </cell>
          <cell r="H576">
            <v>3.9</v>
          </cell>
          <cell r="I576" t="str">
            <v>raisin</v>
          </cell>
          <cell r="J576" t="str">
            <v>raisin - indian</v>
          </cell>
          <cell r="K576"/>
          <cell r="L576"/>
          <cell r="M576" t="str">
            <v>indian green raisins</v>
          </cell>
          <cell r="N576" t="str">
            <v>CFPL</v>
          </cell>
          <cell r="O576" t="str">
            <v>Savla</v>
          </cell>
          <cell r="P576" t="str">
            <v>BHAVESH CORPORATION</v>
          </cell>
          <cell r="Q576">
            <v>364</v>
          </cell>
          <cell r="R576">
            <v>1419.6</v>
          </cell>
          <cell r="S576">
            <v>15</v>
          </cell>
          <cell r="T576" t="str">
            <v>0-30 Days</v>
          </cell>
          <cell r="U576">
            <v>1</v>
          </cell>
          <cell r="V576" t="str">
            <v>23668408-885</v>
          </cell>
        </row>
        <row r="577">
          <cell r="E577"/>
          <cell r="F577">
            <v>1</v>
          </cell>
          <cell r="G577">
            <v>4.2</v>
          </cell>
          <cell r="H577">
            <v>4.2</v>
          </cell>
          <cell r="I577" t="str">
            <v>raisin</v>
          </cell>
          <cell r="J577" t="str">
            <v>raisin - indian</v>
          </cell>
          <cell r="K577"/>
          <cell r="L577"/>
          <cell r="M577" t="str">
            <v>indian green raisins</v>
          </cell>
          <cell r="N577" t="str">
            <v>CFPL</v>
          </cell>
          <cell r="O577" t="str">
            <v>Savla</v>
          </cell>
          <cell r="P577" t="str">
            <v>BHAVESH CORPORATION</v>
          </cell>
          <cell r="Q577">
            <v>364</v>
          </cell>
          <cell r="R577">
            <v>1528.8</v>
          </cell>
          <cell r="S577">
            <v>15</v>
          </cell>
          <cell r="T577" t="str">
            <v>0-30 Days</v>
          </cell>
          <cell r="U577">
            <v>1</v>
          </cell>
          <cell r="V577" t="str">
            <v>23668408-869</v>
          </cell>
        </row>
        <row r="578">
          <cell r="E578"/>
          <cell r="F578">
            <v>1</v>
          </cell>
          <cell r="G578">
            <v>4.8</v>
          </cell>
          <cell r="H578">
            <v>4.8</v>
          </cell>
          <cell r="I578" t="str">
            <v>raisin</v>
          </cell>
          <cell r="J578" t="str">
            <v>raisin - indian</v>
          </cell>
          <cell r="K578"/>
          <cell r="L578"/>
          <cell r="M578" t="str">
            <v>indian green raisins</v>
          </cell>
          <cell r="N578" t="str">
            <v>CFPL</v>
          </cell>
          <cell r="O578" t="str">
            <v>Savla</v>
          </cell>
          <cell r="P578" t="str">
            <v>BHAVESH CORPORATION</v>
          </cell>
          <cell r="Q578">
            <v>364</v>
          </cell>
          <cell r="R578">
            <v>1747.2</v>
          </cell>
          <cell r="S578">
            <v>15</v>
          </cell>
          <cell r="T578" t="str">
            <v>0-30 Days</v>
          </cell>
          <cell r="U578">
            <v>1</v>
          </cell>
          <cell r="V578" t="str">
            <v>23668408-870</v>
          </cell>
        </row>
        <row r="579">
          <cell r="E579"/>
          <cell r="F579">
            <v>1</v>
          </cell>
          <cell r="G579">
            <v>5.7</v>
          </cell>
          <cell r="H579">
            <v>5.7</v>
          </cell>
          <cell r="I579" t="str">
            <v>raisin</v>
          </cell>
          <cell r="J579" t="str">
            <v>raisin - indian</v>
          </cell>
          <cell r="K579"/>
          <cell r="L579"/>
          <cell r="M579" t="str">
            <v>indian green raisins</v>
          </cell>
          <cell r="N579" t="str">
            <v>CFPL</v>
          </cell>
          <cell r="O579" t="str">
            <v>Savla</v>
          </cell>
          <cell r="P579" t="str">
            <v>BHAVESH CORPORATION</v>
          </cell>
          <cell r="Q579">
            <v>364</v>
          </cell>
          <cell r="R579">
            <v>2074.8000000000002</v>
          </cell>
          <cell r="S579">
            <v>15</v>
          </cell>
          <cell r="T579" t="str">
            <v>0-30 Days</v>
          </cell>
          <cell r="U579">
            <v>1</v>
          </cell>
          <cell r="V579" t="str">
            <v>23668408-877</v>
          </cell>
        </row>
        <row r="580">
          <cell r="E580"/>
          <cell r="F580">
            <v>1</v>
          </cell>
          <cell r="G580">
            <v>6.7</v>
          </cell>
          <cell r="H580">
            <v>6.7</v>
          </cell>
          <cell r="I580" t="str">
            <v>raisin</v>
          </cell>
          <cell r="J580" t="str">
            <v>raisin - indian</v>
          </cell>
          <cell r="K580"/>
          <cell r="L580"/>
          <cell r="M580" t="str">
            <v>indian green raisins</v>
          </cell>
          <cell r="N580" t="str">
            <v>CFPL</v>
          </cell>
          <cell r="O580" t="str">
            <v>Savla</v>
          </cell>
          <cell r="P580" t="str">
            <v>BHAVESH CORPORATION</v>
          </cell>
          <cell r="Q580">
            <v>364</v>
          </cell>
          <cell r="R580">
            <v>2438.8000000000002</v>
          </cell>
          <cell r="S580">
            <v>15</v>
          </cell>
          <cell r="T580" t="str">
            <v>0-30 Days</v>
          </cell>
          <cell r="U580">
            <v>1</v>
          </cell>
          <cell r="V580" t="str">
            <v>23668408-881</v>
          </cell>
        </row>
        <row r="581">
          <cell r="E581"/>
          <cell r="F581">
            <v>2</v>
          </cell>
          <cell r="G581">
            <v>7.6</v>
          </cell>
          <cell r="H581">
            <v>15.2</v>
          </cell>
          <cell r="I581" t="str">
            <v>raisin</v>
          </cell>
          <cell r="J581" t="str">
            <v>raisin - indian</v>
          </cell>
          <cell r="K581"/>
          <cell r="L581"/>
          <cell r="M581" t="str">
            <v>indian green raisins</v>
          </cell>
          <cell r="N581" t="str">
            <v>CFPL</v>
          </cell>
          <cell r="O581" t="str">
            <v>Savla</v>
          </cell>
          <cell r="P581" t="str">
            <v>BHAVESH CORPORATION</v>
          </cell>
          <cell r="Q581">
            <v>364</v>
          </cell>
          <cell r="R581">
            <v>5532.8</v>
          </cell>
          <cell r="S581">
            <v>15</v>
          </cell>
          <cell r="T581" t="str">
            <v>0-30 Days</v>
          </cell>
          <cell r="U581">
            <v>2</v>
          </cell>
          <cell r="V581" t="str">
            <v>23668408-889, 23668408-891</v>
          </cell>
        </row>
        <row r="582">
          <cell r="E582"/>
          <cell r="F582">
            <v>1</v>
          </cell>
          <cell r="G582">
            <v>7.7</v>
          </cell>
          <cell r="H582">
            <v>7.7</v>
          </cell>
          <cell r="I582" t="str">
            <v>raisin</v>
          </cell>
          <cell r="J582" t="str">
            <v>raisin - indian</v>
          </cell>
          <cell r="K582"/>
          <cell r="L582"/>
          <cell r="M582" t="str">
            <v>indian green raisins</v>
          </cell>
          <cell r="N582" t="str">
            <v>CFPL</v>
          </cell>
          <cell r="O582" t="str">
            <v>Savla</v>
          </cell>
          <cell r="P582" t="str">
            <v>BHAVESH CORPORATION</v>
          </cell>
          <cell r="Q582">
            <v>364</v>
          </cell>
          <cell r="R582">
            <v>2802.8</v>
          </cell>
          <cell r="S582">
            <v>15</v>
          </cell>
          <cell r="T582" t="str">
            <v>0-30 Days</v>
          </cell>
          <cell r="U582">
            <v>1</v>
          </cell>
          <cell r="V582" t="str">
            <v>23668408-872</v>
          </cell>
        </row>
        <row r="583">
          <cell r="E583"/>
          <cell r="F583">
            <v>1</v>
          </cell>
          <cell r="G583">
            <v>8.1999999999999993</v>
          </cell>
          <cell r="H583">
            <v>8.1999999999999993</v>
          </cell>
          <cell r="I583" t="str">
            <v>raisin</v>
          </cell>
          <cell r="J583" t="str">
            <v>raisin - indian</v>
          </cell>
          <cell r="K583"/>
          <cell r="L583"/>
          <cell r="M583" t="str">
            <v>indian green raisins</v>
          </cell>
          <cell r="N583" t="str">
            <v>CFPL</v>
          </cell>
          <cell r="O583" t="str">
            <v>Savla</v>
          </cell>
          <cell r="P583" t="str">
            <v>BHAVESH CORPORATION</v>
          </cell>
          <cell r="Q583">
            <v>364</v>
          </cell>
          <cell r="R583">
            <v>2984.8</v>
          </cell>
          <cell r="S583">
            <v>15</v>
          </cell>
          <cell r="T583" t="str">
            <v>0-30 Days</v>
          </cell>
          <cell r="U583">
            <v>1</v>
          </cell>
          <cell r="V583" t="str">
            <v>23668408-882</v>
          </cell>
        </row>
        <row r="584">
          <cell r="E584"/>
          <cell r="F584">
            <v>1</v>
          </cell>
          <cell r="G584">
            <v>9</v>
          </cell>
          <cell r="H584">
            <v>9</v>
          </cell>
          <cell r="I584" t="str">
            <v>raisin</v>
          </cell>
          <cell r="J584" t="str">
            <v>raisin - indian</v>
          </cell>
          <cell r="K584"/>
          <cell r="L584"/>
          <cell r="M584" t="str">
            <v>indian green raisins</v>
          </cell>
          <cell r="N584" t="str">
            <v>CFPL</v>
          </cell>
          <cell r="O584" t="str">
            <v>Savla</v>
          </cell>
          <cell r="P584" t="str">
            <v>BHAVESH CORPORATION</v>
          </cell>
          <cell r="Q584">
            <v>364</v>
          </cell>
          <cell r="R584">
            <v>3276</v>
          </cell>
          <cell r="S584">
            <v>15</v>
          </cell>
          <cell r="T584" t="str">
            <v>0-30 Days</v>
          </cell>
          <cell r="U584">
            <v>1</v>
          </cell>
          <cell r="V584" t="str">
            <v>23668408-879</v>
          </cell>
        </row>
        <row r="585">
          <cell r="E585"/>
          <cell r="F585">
            <v>1</v>
          </cell>
          <cell r="G585">
            <v>10.5</v>
          </cell>
          <cell r="H585">
            <v>10.5</v>
          </cell>
          <cell r="I585" t="str">
            <v>raisin</v>
          </cell>
          <cell r="J585" t="str">
            <v>raisin - indian</v>
          </cell>
          <cell r="K585"/>
          <cell r="L585"/>
          <cell r="M585" t="str">
            <v>indian green raisins</v>
          </cell>
          <cell r="N585" t="str">
            <v>CFPL</v>
          </cell>
          <cell r="O585" t="str">
            <v>Savla</v>
          </cell>
          <cell r="P585" t="str">
            <v>BHAVESH CORPORATION</v>
          </cell>
          <cell r="Q585">
            <v>364</v>
          </cell>
          <cell r="R585">
            <v>3822</v>
          </cell>
          <cell r="S585">
            <v>15</v>
          </cell>
          <cell r="T585" t="str">
            <v>0-30 Days</v>
          </cell>
          <cell r="U585">
            <v>1</v>
          </cell>
          <cell r="V585" t="str">
            <v>23668408-873</v>
          </cell>
        </row>
        <row r="586">
          <cell r="E586"/>
          <cell r="F586">
            <v>1</v>
          </cell>
          <cell r="G586">
            <v>11</v>
          </cell>
          <cell r="H586">
            <v>11</v>
          </cell>
          <cell r="I586" t="str">
            <v>raisin</v>
          </cell>
          <cell r="J586" t="str">
            <v>raisin - indian</v>
          </cell>
          <cell r="K586"/>
          <cell r="L586"/>
          <cell r="M586" t="str">
            <v>indian green raisins</v>
          </cell>
          <cell r="N586" t="str">
            <v>CFPL</v>
          </cell>
          <cell r="O586" t="str">
            <v>Savla</v>
          </cell>
          <cell r="P586" t="str">
            <v>BHAVESH CORPORATION</v>
          </cell>
          <cell r="Q586">
            <v>364</v>
          </cell>
          <cell r="R586">
            <v>4004</v>
          </cell>
          <cell r="S586">
            <v>15</v>
          </cell>
          <cell r="T586" t="str">
            <v>0-30 Days</v>
          </cell>
          <cell r="U586">
            <v>1</v>
          </cell>
          <cell r="V586" t="str">
            <v>23668408-875</v>
          </cell>
        </row>
        <row r="587">
          <cell r="E587"/>
          <cell r="F587">
            <v>1</v>
          </cell>
          <cell r="G587">
            <v>14.4</v>
          </cell>
          <cell r="H587">
            <v>14.4</v>
          </cell>
          <cell r="I587" t="str">
            <v>raisin</v>
          </cell>
          <cell r="J587" t="str">
            <v>raisin - indian</v>
          </cell>
          <cell r="K587"/>
          <cell r="L587"/>
          <cell r="M587" t="str">
            <v>indian green raisins</v>
          </cell>
          <cell r="N587" t="str">
            <v>CFPL</v>
          </cell>
          <cell r="O587" t="str">
            <v>Savla</v>
          </cell>
          <cell r="P587" t="str">
            <v>BHAVESH CORPORATION</v>
          </cell>
          <cell r="Q587">
            <v>364</v>
          </cell>
          <cell r="R587">
            <v>5241.6000000000004</v>
          </cell>
          <cell r="S587">
            <v>15</v>
          </cell>
          <cell r="T587" t="str">
            <v>0-30 Days</v>
          </cell>
          <cell r="U587">
            <v>1</v>
          </cell>
          <cell r="V587" t="str">
            <v>23668408-874</v>
          </cell>
        </row>
        <row r="588">
          <cell r="E588"/>
          <cell r="F588">
            <v>1</v>
          </cell>
          <cell r="G588">
            <v>14.5</v>
          </cell>
          <cell r="H588">
            <v>14.5</v>
          </cell>
          <cell r="I588" t="str">
            <v>raisin</v>
          </cell>
          <cell r="J588" t="str">
            <v>raisin - indian</v>
          </cell>
          <cell r="K588"/>
          <cell r="L588"/>
          <cell r="M588" t="str">
            <v>indian green raisins</v>
          </cell>
          <cell r="N588" t="str">
            <v>CFPL</v>
          </cell>
          <cell r="O588" t="str">
            <v>Savla</v>
          </cell>
          <cell r="P588" t="str">
            <v>BHAVESH CORPORATION</v>
          </cell>
          <cell r="Q588">
            <v>364</v>
          </cell>
          <cell r="R588">
            <v>5278</v>
          </cell>
          <cell r="S588">
            <v>15</v>
          </cell>
          <cell r="T588" t="str">
            <v>0-30 Days</v>
          </cell>
          <cell r="U588">
            <v>1</v>
          </cell>
          <cell r="V588" t="str">
            <v>23668408-892</v>
          </cell>
        </row>
        <row r="589">
          <cell r="E589"/>
          <cell r="F589">
            <v>869</v>
          </cell>
          <cell r="G589">
            <v>15</v>
          </cell>
          <cell r="H589">
            <v>13035</v>
          </cell>
          <cell r="I589" t="str">
            <v>raisin</v>
          </cell>
          <cell r="J589" t="str">
            <v>raisin - indian</v>
          </cell>
          <cell r="K589"/>
          <cell r="L589"/>
          <cell r="M589" t="str">
            <v>indian green raisins</v>
          </cell>
          <cell r="N589" t="str">
            <v>CFPL</v>
          </cell>
          <cell r="O589" t="str">
            <v>Savla</v>
          </cell>
          <cell r="P589" t="str">
            <v>BHAVESH CORPORATION</v>
          </cell>
          <cell r="Q589">
            <v>364</v>
          </cell>
          <cell r="R589">
            <v>4744740</v>
          </cell>
          <cell r="S589">
            <v>15</v>
          </cell>
          <cell r="T589" t="str">
            <v>0-30 Days</v>
          </cell>
          <cell r="U589">
            <v>869</v>
          </cell>
          <cell r="V589" t="str">
            <v>23668408-1 to 23668408-868, 23668408-893</v>
          </cell>
        </row>
        <row r="590">
          <cell r="E590"/>
          <cell r="F590">
            <v>1</v>
          </cell>
          <cell r="G590">
            <v>16</v>
          </cell>
          <cell r="H590">
            <v>16</v>
          </cell>
          <cell r="I590" t="str">
            <v>raisin</v>
          </cell>
          <cell r="J590" t="str">
            <v>raisin - indian</v>
          </cell>
          <cell r="K590"/>
          <cell r="L590"/>
          <cell r="M590" t="str">
            <v>indian green raisins</v>
          </cell>
          <cell r="N590" t="str">
            <v>CFPL</v>
          </cell>
          <cell r="O590" t="str">
            <v>Savla</v>
          </cell>
          <cell r="P590" t="str">
            <v>BHAVESH CORPORATION</v>
          </cell>
          <cell r="Q590">
            <v>364</v>
          </cell>
          <cell r="R590">
            <v>5824</v>
          </cell>
          <cell r="S590">
            <v>15</v>
          </cell>
          <cell r="T590" t="str">
            <v>0-30 Days</v>
          </cell>
          <cell r="U590">
            <v>1</v>
          </cell>
          <cell r="V590" t="str">
            <v>23668408-878</v>
          </cell>
        </row>
        <row r="591">
          <cell r="E591"/>
          <cell r="F591">
            <v>1</v>
          </cell>
          <cell r="G591">
            <v>16.100000000000001</v>
          </cell>
          <cell r="H591">
            <v>16.100000000000001</v>
          </cell>
          <cell r="I591" t="str">
            <v>raisin</v>
          </cell>
          <cell r="J591" t="str">
            <v>raisin - indian</v>
          </cell>
          <cell r="K591"/>
          <cell r="L591"/>
          <cell r="M591" t="str">
            <v>indian green raisins</v>
          </cell>
          <cell r="N591" t="str">
            <v>CFPL</v>
          </cell>
          <cell r="O591" t="str">
            <v>Savla</v>
          </cell>
          <cell r="P591" t="str">
            <v>BHAVESH CORPORATION</v>
          </cell>
          <cell r="Q591">
            <v>364</v>
          </cell>
          <cell r="R591">
            <v>5860.4</v>
          </cell>
          <cell r="S591">
            <v>15</v>
          </cell>
          <cell r="T591" t="str">
            <v>0-30 Days</v>
          </cell>
          <cell r="U591">
            <v>1</v>
          </cell>
          <cell r="V591" t="str">
            <v>23668408-886</v>
          </cell>
        </row>
        <row r="592">
          <cell r="E592"/>
          <cell r="F592">
            <v>1</v>
          </cell>
          <cell r="G592">
            <v>16.2</v>
          </cell>
          <cell r="H592">
            <v>16.2</v>
          </cell>
          <cell r="I592" t="str">
            <v>raisin</v>
          </cell>
          <cell r="J592" t="str">
            <v>raisin - indian</v>
          </cell>
          <cell r="K592"/>
          <cell r="L592"/>
          <cell r="M592" t="str">
            <v>indian green raisins</v>
          </cell>
          <cell r="N592" t="str">
            <v>CFPL</v>
          </cell>
          <cell r="O592" t="str">
            <v>Savla</v>
          </cell>
          <cell r="P592" t="str">
            <v>BHAVESH CORPORATION</v>
          </cell>
          <cell r="Q592">
            <v>364</v>
          </cell>
          <cell r="R592">
            <v>5896.8</v>
          </cell>
          <cell r="S592">
            <v>15</v>
          </cell>
          <cell r="T592" t="str">
            <v>0-30 Days</v>
          </cell>
          <cell r="U592">
            <v>1</v>
          </cell>
          <cell r="V592" t="str">
            <v>23668408-871</v>
          </cell>
        </row>
        <row r="593">
          <cell r="E593"/>
          <cell r="F593">
            <v>1</v>
          </cell>
          <cell r="G593">
            <v>17.100000000000001</v>
          </cell>
          <cell r="H593">
            <v>17.100000000000001</v>
          </cell>
          <cell r="I593" t="str">
            <v>raisin</v>
          </cell>
          <cell r="J593" t="str">
            <v>raisin - indian</v>
          </cell>
          <cell r="K593"/>
          <cell r="L593"/>
          <cell r="M593" t="str">
            <v>indian green raisins</v>
          </cell>
          <cell r="N593" t="str">
            <v>CFPL</v>
          </cell>
          <cell r="O593" t="str">
            <v>Savla</v>
          </cell>
          <cell r="P593" t="str">
            <v>BHAVESH CORPORATION</v>
          </cell>
          <cell r="Q593">
            <v>364</v>
          </cell>
          <cell r="R593">
            <v>6224.4</v>
          </cell>
          <cell r="S593">
            <v>15</v>
          </cell>
          <cell r="T593" t="str">
            <v>0-30 Days</v>
          </cell>
          <cell r="U593">
            <v>1</v>
          </cell>
          <cell r="V593" t="str">
            <v>23668408-876</v>
          </cell>
        </row>
        <row r="594">
          <cell r="E594"/>
          <cell r="F594">
            <v>2</v>
          </cell>
          <cell r="G594">
            <v>18</v>
          </cell>
          <cell r="H594">
            <v>36</v>
          </cell>
          <cell r="I594" t="str">
            <v>raisin</v>
          </cell>
          <cell r="J594" t="str">
            <v>raisin - indian</v>
          </cell>
          <cell r="K594"/>
          <cell r="L594"/>
          <cell r="M594" t="str">
            <v>indian green raisins</v>
          </cell>
          <cell r="N594" t="str">
            <v>CFPL</v>
          </cell>
          <cell r="O594" t="str">
            <v>Savla</v>
          </cell>
          <cell r="P594" t="str">
            <v>BHAVESH CORPORATION</v>
          </cell>
          <cell r="Q594">
            <v>364</v>
          </cell>
          <cell r="R594">
            <v>13104</v>
          </cell>
          <cell r="S594">
            <v>15</v>
          </cell>
          <cell r="T594" t="str">
            <v>0-30 Days</v>
          </cell>
          <cell r="U594">
            <v>2</v>
          </cell>
          <cell r="V594" t="str">
            <v>23668408-880, 23668408-887</v>
          </cell>
        </row>
        <row r="595">
          <cell r="E595"/>
          <cell r="F595">
            <v>1</v>
          </cell>
          <cell r="G595">
            <v>18.2</v>
          </cell>
          <cell r="H595">
            <v>18.2</v>
          </cell>
          <cell r="I595" t="str">
            <v>raisin</v>
          </cell>
          <cell r="J595" t="str">
            <v>raisin - indian</v>
          </cell>
          <cell r="K595"/>
          <cell r="L595"/>
          <cell r="M595" t="str">
            <v>indian green raisins</v>
          </cell>
          <cell r="N595" t="str">
            <v>CFPL</v>
          </cell>
          <cell r="O595" t="str">
            <v>Savla</v>
          </cell>
          <cell r="P595" t="str">
            <v>BHAVESH CORPORATION</v>
          </cell>
          <cell r="Q595">
            <v>364</v>
          </cell>
          <cell r="R595">
            <v>6624.8</v>
          </cell>
          <cell r="S595">
            <v>15</v>
          </cell>
          <cell r="T595" t="str">
            <v>0-30 Days</v>
          </cell>
          <cell r="U595">
            <v>1</v>
          </cell>
          <cell r="V595" t="str">
            <v>23668408-884</v>
          </cell>
        </row>
        <row r="596">
          <cell r="E596"/>
          <cell r="F596">
            <v>1</v>
          </cell>
          <cell r="G596">
            <v>18.3</v>
          </cell>
          <cell r="H596">
            <v>18.3</v>
          </cell>
          <cell r="I596" t="str">
            <v>raisin</v>
          </cell>
          <cell r="J596" t="str">
            <v>raisin - indian</v>
          </cell>
          <cell r="K596"/>
          <cell r="L596"/>
          <cell r="M596" t="str">
            <v>indian green raisins</v>
          </cell>
          <cell r="N596" t="str">
            <v>CFPL</v>
          </cell>
          <cell r="O596" t="str">
            <v>Savla</v>
          </cell>
          <cell r="P596" t="str">
            <v>BHAVESH CORPORATION</v>
          </cell>
          <cell r="Q596">
            <v>364</v>
          </cell>
          <cell r="R596">
            <v>6661.2</v>
          </cell>
          <cell r="S596">
            <v>15</v>
          </cell>
          <cell r="T596" t="str">
            <v>0-30 Days</v>
          </cell>
          <cell r="U596">
            <v>1</v>
          </cell>
          <cell r="V596" t="str">
            <v>23668408-888</v>
          </cell>
        </row>
        <row r="597">
          <cell r="E597"/>
          <cell r="F597">
            <v>1</v>
          </cell>
          <cell r="G597">
            <v>18.8</v>
          </cell>
          <cell r="H597">
            <v>18.8</v>
          </cell>
          <cell r="I597" t="str">
            <v>raisin</v>
          </cell>
          <cell r="J597" t="str">
            <v>raisin - indian</v>
          </cell>
          <cell r="K597"/>
          <cell r="L597"/>
          <cell r="M597" t="str">
            <v>indian green raisins</v>
          </cell>
          <cell r="N597" t="str">
            <v>CFPL</v>
          </cell>
          <cell r="O597" t="str">
            <v>Savla</v>
          </cell>
          <cell r="P597" t="str">
            <v>BHAVESH CORPORATION</v>
          </cell>
          <cell r="Q597">
            <v>364</v>
          </cell>
          <cell r="R597">
            <v>6843.2</v>
          </cell>
          <cell r="S597">
            <v>15</v>
          </cell>
          <cell r="T597" t="str">
            <v>0-30 Days</v>
          </cell>
          <cell r="U597">
            <v>1</v>
          </cell>
          <cell r="V597" t="str">
            <v>23668408-890</v>
          </cell>
        </row>
        <row r="598">
          <cell r="E598"/>
          <cell r="F598">
            <v>1</v>
          </cell>
          <cell r="G598">
            <v>19.600000000000001</v>
          </cell>
          <cell r="H598">
            <v>19.600000000000001</v>
          </cell>
          <cell r="I598" t="str">
            <v>raisin</v>
          </cell>
          <cell r="J598" t="str">
            <v>raisin - indian</v>
          </cell>
          <cell r="K598"/>
          <cell r="L598"/>
          <cell r="M598" t="str">
            <v>indian green raisins</v>
          </cell>
          <cell r="N598" t="str">
            <v>CFPL</v>
          </cell>
          <cell r="O598" t="str">
            <v>Savla</v>
          </cell>
          <cell r="P598" t="str">
            <v>BHAVESH CORPORATION</v>
          </cell>
          <cell r="Q598">
            <v>364</v>
          </cell>
          <cell r="R598">
            <v>7134.4</v>
          </cell>
          <cell r="S598">
            <v>15</v>
          </cell>
          <cell r="T598" t="str">
            <v>0-30 Days</v>
          </cell>
          <cell r="U598">
            <v>1</v>
          </cell>
          <cell r="V598" t="str">
            <v>23668408-883</v>
          </cell>
        </row>
        <row r="599">
          <cell r="E599"/>
          <cell r="F599">
            <v>1</v>
          </cell>
          <cell r="G599">
            <v>1.4</v>
          </cell>
          <cell r="H599">
            <v>1.4</v>
          </cell>
          <cell r="I599" t="str">
            <v>DATES</v>
          </cell>
          <cell r="J599" t="str">
            <v>Medjoul-Medium</v>
          </cell>
          <cell r="K599"/>
          <cell r="L599"/>
          <cell r="M599" t="str">
            <v>Medjoul Dates Medium</v>
          </cell>
          <cell r="N599" t="str">
            <v>CFPL</v>
          </cell>
          <cell r="O599" t="str">
            <v>Savla</v>
          </cell>
          <cell r="P599" t="str">
            <v>HADIKLAIM DATE GROWERS COOPERATIVE LTD.</v>
          </cell>
          <cell r="Q599"/>
          <cell r="R599">
            <v>0</v>
          </cell>
          <cell r="S599">
            <v>56</v>
          </cell>
          <cell r="T599" t="str">
            <v>31-60 Days</v>
          </cell>
          <cell r="U599">
            <v>1</v>
          </cell>
          <cell r="V599" t="str">
            <v>66070921-207</v>
          </cell>
        </row>
        <row r="600">
          <cell r="E600"/>
          <cell r="F600">
            <v>3</v>
          </cell>
          <cell r="G600">
            <v>4.8</v>
          </cell>
          <cell r="H600">
            <v>14.4</v>
          </cell>
          <cell r="I600" t="str">
            <v>DATES</v>
          </cell>
          <cell r="J600" t="str">
            <v>Medjoul-Medium</v>
          </cell>
          <cell r="K600"/>
          <cell r="L600"/>
          <cell r="M600" t="str">
            <v>Medjoul Dates Medium</v>
          </cell>
          <cell r="N600" t="str">
            <v>CFPL</v>
          </cell>
          <cell r="O600" t="str">
            <v>Savla</v>
          </cell>
          <cell r="P600" t="str">
            <v>HADIKLAIM DATE GROWERS COOPERATIVE LTD.</v>
          </cell>
          <cell r="Q600"/>
          <cell r="R600">
            <v>0</v>
          </cell>
          <cell r="S600">
            <v>56</v>
          </cell>
          <cell r="T600" t="str">
            <v>31-60 Days</v>
          </cell>
          <cell r="U600">
            <v>3</v>
          </cell>
          <cell r="V600" t="str">
            <v>66070921-208 to 66070921-210</v>
          </cell>
        </row>
        <row r="601">
          <cell r="E601"/>
          <cell r="F601">
            <v>206</v>
          </cell>
          <cell r="G601">
            <v>5</v>
          </cell>
          <cell r="H601">
            <v>1030</v>
          </cell>
          <cell r="I601" t="str">
            <v>DATES</v>
          </cell>
          <cell r="J601" t="str">
            <v>Medjoul-Medium</v>
          </cell>
          <cell r="K601"/>
          <cell r="L601"/>
          <cell r="M601" t="str">
            <v>Medjoul Dates Medium</v>
          </cell>
          <cell r="N601" t="str">
            <v>CFPL</v>
          </cell>
          <cell r="O601" t="str">
            <v>Savla</v>
          </cell>
          <cell r="P601" t="str">
            <v>HADIKLAIM DATE GROWERS COOPERATIVE LTD.</v>
          </cell>
          <cell r="Q601"/>
          <cell r="R601">
            <v>0</v>
          </cell>
          <cell r="S601">
            <v>56</v>
          </cell>
          <cell r="T601" t="str">
            <v>31-60 Days</v>
          </cell>
          <cell r="U601">
            <v>206</v>
          </cell>
          <cell r="V601" t="str">
            <v>66070921-1 to 66070921-206</v>
          </cell>
        </row>
        <row r="602">
          <cell r="E602"/>
          <cell r="F602">
            <v>210</v>
          </cell>
          <cell r="G602">
            <v>5</v>
          </cell>
          <cell r="H602">
            <v>1050</v>
          </cell>
          <cell r="I602" t="str">
            <v>DATES</v>
          </cell>
          <cell r="J602" t="str">
            <v>Medjoul-Large</v>
          </cell>
          <cell r="K602"/>
          <cell r="L602"/>
          <cell r="M602" t="str">
            <v>Medjoul Dates Large</v>
          </cell>
          <cell r="N602" t="str">
            <v>CFPL</v>
          </cell>
          <cell r="O602" t="str">
            <v>Savla</v>
          </cell>
          <cell r="P602" t="str">
            <v>HADIKLAIM DATE GROWERS COOPERATIVE LTD.</v>
          </cell>
          <cell r="Q602"/>
          <cell r="R602">
            <v>0</v>
          </cell>
          <cell r="S602">
            <v>56</v>
          </cell>
          <cell r="T602" t="str">
            <v>31-60 Days</v>
          </cell>
          <cell r="U602">
            <v>210</v>
          </cell>
          <cell r="V602" t="str">
            <v>70169021-1 to 70169021-210</v>
          </cell>
        </row>
        <row r="603">
          <cell r="E603"/>
          <cell r="F603">
            <v>209</v>
          </cell>
          <cell r="G603">
            <v>5</v>
          </cell>
          <cell r="H603">
            <v>1045</v>
          </cell>
          <cell r="I603" t="str">
            <v>DATES</v>
          </cell>
          <cell r="J603" t="str">
            <v>Medjoul-Jumbo</v>
          </cell>
          <cell r="K603"/>
          <cell r="L603"/>
          <cell r="M603" t="str">
            <v>MEDJOUL DATES JUMBO</v>
          </cell>
          <cell r="N603" t="str">
            <v>CFPL</v>
          </cell>
          <cell r="O603" t="str">
            <v>Savla</v>
          </cell>
          <cell r="P603" t="str">
            <v>HADIKLAIM DATE GROWERS COOPERATIVE LTD.</v>
          </cell>
          <cell r="Q603"/>
          <cell r="R603">
            <v>0</v>
          </cell>
          <cell r="S603">
            <v>56</v>
          </cell>
          <cell r="T603" t="str">
            <v>31-60 Days</v>
          </cell>
          <cell r="U603">
            <v>209</v>
          </cell>
          <cell r="V603" t="str">
            <v>71109166-1 to 71109166-209</v>
          </cell>
        </row>
        <row r="604">
          <cell r="E604"/>
          <cell r="F604">
            <v>1</v>
          </cell>
          <cell r="G604">
            <v>5.5</v>
          </cell>
          <cell r="H604">
            <v>5.5</v>
          </cell>
          <cell r="I604" t="str">
            <v>DATES</v>
          </cell>
          <cell r="J604" t="str">
            <v>Medjoul-Jumbo</v>
          </cell>
          <cell r="K604"/>
          <cell r="L604"/>
          <cell r="M604" t="str">
            <v>MEDJOUL DATES JUMBO</v>
          </cell>
          <cell r="N604" t="str">
            <v>CFPL</v>
          </cell>
          <cell r="O604" t="str">
            <v>Savla</v>
          </cell>
          <cell r="P604" t="str">
            <v>HADIKLAIM DATE GROWERS COOPERATIVE LTD.</v>
          </cell>
          <cell r="Q604"/>
          <cell r="R604">
            <v>0</v>
          </cell>
          <cell r="S604">
            <v>56</v>
          </cell>
          <cell r="T604" t="str">
            <v>31-60 Days</v>
          </cell>
          <cell r="U604">
            <v>1</v>
          </cell>
          <cell r="V604" t="str">
            <v>71109166-210</v>
          </cell>
        </row>
        <row r="605">
          <cell r="E605"/>
          <cell r="F605">
            <v>210</v>
          </cell>
          <cell r="G605">
            <v>5</v>
          </cell>
          <cell r="H605">
            <v>1050</v>
          </cell>
          <cell r="I605" t="str">
            <v>DATES</v>
          </cell>
          <cell r="J605" t="str">
            <v>Medjoul-Super Jumbo</v>
          </cell>
          <cell r="K605"/>
          <cell r="L605"/>
          <cell r="M605" t="str">
            <v>Medjoul Dates Super Jumbo</v>
          </cell>
          <cell r="N605" t="str">
            <v>CFPL</v>
          </cell>
          <cell r="O605" t="str">
            <v>Savla</v>
          </cell>
          <cell r="P605" t="str">
            <v>HADIKLAIM DATE GROWERS COOPERATIVE LTD.</v>
          </cell>
          <cell r="Q605"/>
          <cell r="R605">
            <v>0</v>
          </cell>
          <cell r="S605">
            <v>56</v>
          </cell>
          <cell r="T605" t="str">
            <v>31-60 Days</v>
          </cell>
          <cell r="U605">
            <v>210</v>
          </cell>
          <cell r="V605" t="str">
            <v>72351635-1 to 72351635-210</v>
          </cell>
        </row>
        <row r="606">
          <cell r="E606"/>
          <cell r="F606">
            <v>1</v>
          </cell>
          <cell r="G606">
            <v>3.5</v>
          </cell>
          <cell r="H606">
            <v>3.5</v>
          </cell>
          <cell r="I606" t="str">
            <v>DATES</v>
          </cell>
          <cell r="J606" t="str">
            <v>Amary</v>
          </cell>
          <cell r="K606"/>
          <cell r="L606"/>
          <cell r="M606" t="str">
            <v>Amary Dates</v>
          </cell>
          <cell r="N606" t="str">
            <v>CFPL</v>
          </cell>
          <cell r="O606" t="str">
            <v>Savla</v>
          </cell>
          <cell r="P606" t="str">
            <v>HADIKLAIM DATE GROWERS COOPERATIVE LTD.</v>
          </cell>
          <cell r="Q606"/>
          <cell r="R606">
            <v>0</v>
          </cell>
          <cell r="S606">
            <v>56</v>
          </cell>
          <cell r="T606" t="str">
            <v>31-60 Days</v>
          </cell>
          <cell r="U606">
            <v>1</v>
          </cell>
          <cell r="V606" t="str">
            <v>72884738-200</v>
          </cell>
        </row>
        <row r="607">
          <cell r="E607"/>
          <cell r="F607">
            <v>198</v>
          </cell>
          <cell r="G607">
            <v>5</v>
          </cell>
          <cell r="H607">
            <v>990</v>
          </cell>
          <cell r="I607" t="str">
            <v>DATES</v>
          </cell>
          <cell r="J607" t="str">
            <v>Amary</v>
          </cell>
          <cell r="K607"/>
          <cell r="L607"/>
          <cell r="M607" t="str">
            <v>Amary Dates</v>
          </cell>
          <cell r="N607" t="str">
            <v>CFPL</v>
          </cell>
          <cell r="O607" t="str">
            <v>Savla</v>
          </cell>
          <cell r="P607" t="str">
            <v>HADIKLAIM DATE GROWERS COOPERATIVE LTD.</v>
          </cell>
          <cell r="Q607"/>
          <cell r="R607">
            <v>0</v>
          </cell>
          <cell r="S607">
            <v>56</v>
          </cell>
          <cell r="T607" t="str">
            <v>31-60 Days</v>
          </cell>
          <cell r="U607">
            <v>198</v>
          </cell>
          <cell r="V607" t="str">
            <v>72884738-1 to 72884738-198</v>
          </cell>
        </row>
        <row r="608">
          <cell r="E608"/>
          <cell r="F608">
            <v>1</v>
          </cell>
          <cell r="G608">
            <v>5.2</v>
          </cell>
          <cell r="H608">
            <v>5.2</v>
          </cell>
          <cell r="I608" t="str">
            <v>DATES</v>
          </cell>
          <cell r="J608" t="str">
            <v>Amary</v>
          </cell>
          <cell r="K608"/>
          <cell r="L608"/>
          <cell r="M608" t="str">
            <v>Amary Dates</v>
          </cell>
          <cell r="N608" t="str">
            <v>CFPL</v>
          </cell>
          <cell r="O608" t="str">
            <v>Savla</v>
          </cell>
          <cell r="P608" t="str">
            <v>HADIKLAIM DATE GROWERS COOPERATIVE LTD.</v>
          </cell>
          <cell r="Q608"/>
          <cell r="R608">
            <v>0</v>
          </cell>
          <cell r="S608">
            <v>56</v>
          </cell>
          <cell r="T608" t="str">
            <v>31-60 Days</v>
          </cell>
          <cell r="U608">
            <v>1</v>
          </cell>
          <cell r="V608" t="str">
            <v>72884738-199</v>
          </cell>
        </row>
        <row r="609">
          <cell r="E609"/>
          <cell r="F609">
            <v>583</v>
          </cell>
          <cell r="G609">
            <v>5</v>
          </cell>
          <cell r="H609">
            <v>2915</v>
          </cell>
          <cell r="I609" t="str">
            <v>DATES</v>
          </cell>
          <cell r="J609" t="str">
            <v>Deri</v>
          </cell>
          <cell r="K609"/>
          <cell r="L609"/>
          <cell r="M609" t="str">
            <v>Deri Dates</v>
          </cell>
          <cell r="N609" t="str">
            <v>CFPL</v>
          </cell>
          <cell r="O609" t="str">
            <v>Savla</v>
          </cell>
          <cell r="P609" t="str">
            <v>HADIKLAIM DATE GROWERS COOPERATIVE LTD.</v>
          </cell>
          <cell r="Q609"/>
          <cell r="R609">
            <v>0</v>
          </cell>
          <cell r="S609">
            <v>56</v>
          </cell>
          <cell r="T609" t="str">
            <v>31-60 Days</v>
          </cell>
          <cell r="U609">
            <v>583</v>
          </cell>
          <cell r="V609" t="str">
            <v>74556175-1 to 74556175-583</v>
          </cell>
        </row>
        <row r="610">
          <cell r="E610"/>
          <cell r="F610">
            <v>12</v>
          </cell>
          <cell r="G610">
            <v>5.2</v>
          </cell>
          <cell r="H610">
            <v>62.4</v>
          </cell>
          <cell r="I610" t="str">
            <v>DATES</v>
          </cell>
          <cell r="J610" t="str">
            <v>Deri</v>
          </cell>
          <cell r="K610"/>
          <cell r="L610"/>
          <cell r="M610" t="str">
            <v>Deri Dates</v>
          </cell>
          <cell r="N610" t="str">
            <v>CFPL</v>
          </cell>
          <cell r="O610" t="str">
            <v>Savla</v>
          </cell>
          <cell r="P610" t="str">
            <v>HADIKLAIM DATE GROWERS COOPERATIVE LTD.</v>
          </cell>
          <cell r="Q610"/>
          <cell r="R610">
            <v>0</v>
          </cell>
          <cell r="S610">
            <v>56</v>
          </cell>
          <cell r="T610" t="str">
            <v>31-60 Days</v>
          </cell>
          <cell r="U610">
            <v>12</v>
          </cell>
          <cell r="V610" t="str">
            <v>74556175-589 to 74556175-600</v>
          </cell>
        </row>
        <row r="611">
          <cell r="E611"/>
          <cell r="F611">
            <v>5</v>
          </cell>
          <cell r="G611">
            <v>5.5</v>
          </cell>
          <cell r="H611">
            <v>27.5</v>
          </cell>
          <cell r="I611" t="str">
            <v>DATES</v>
          </cell>
          <cell r="J611" t="str">
            <v>Deri</v>
          </cell>
          <cell r="K611"/>
          <cell r="L611"/>
          <cell r="M611" t="str">
            <v>Deri Dates</v>
          </cell>
          <cell r="N611" t="str">
            <v>CFPL</v>
          </cell>
          <cell r="O611" t="str">
            <v>Savla</v>
          </cell>
          <cell r="P611" t="str">
            <v>HADIKLAIM DATE GROWERS COOPERATIVE LTD.</v>
          </cell>
          <cell r="Q611"/>
          <cell r="R611">
            <v>0</v>
          </cell>
          <cell r="S611">
            <v>56</v>
          </cell>
          <cell r="T611" t="str">
            <v>31-60 Days</v>
          </cell>
          <cell r="U611">
            <v>5</v>
          </cell>
          <cell r="V611" t="str">
            <v>74556175-584 to 74556175-588</v>
          </cell>
        </row>
        <row r="612">
          <cell r="E612"/>
          <cell r="F612">
            <v>519</v>
          </cell>
          <cell r="G612">
            <v>5</v>
          </cell>
          <cell r="H612">
            <v>2595</v>
          </cell>
          <cell r="I612" t="str">
            <v>DATES</v>
          </cell>
          <cell r="J612" t="str">
            <v>Medjoul-Large</v>
          </cell>
          <cell r="K612"/>
          <cell r="L612"/>
          <cell r="M612" t="str">
            <v>Medjoul Dates Large</v>
          </cell>
          <cell r="N612" t="str">
            <v>CFPL</v>
          </cell>
          <cell r="O612" t="str">
            <v>Savla</v>
          </cell>
          <cell r="P612" t="str">
            <v>HADIKLAIM DATE GROWERS COOPERATIVE LTD.</v>
          </cell>
          <cell r="Q612"/>
          <cell r="R612">
            <v>0</v>
          </cell>
          <cell r="S612">
            <v>56</v>
          </cell>
          <cell r="T612" t="str">
            <v>31-60 Days</v>
          </cell>
          <cell r="U612">
            <v>519</v>
          </cell>
          <cell r="V612" t="str">
            <v>80378275-1 to 80378275-333, 80378275-335 to 80378275-520</v>
          </cell>
        </row>
        <row r="613">
          <cell r="E613"/>
          <cell r="F613">
            <v>1</v>
          </cell>
          <cell r="G613">
            <v>5.0999999999999996</v>
          </cell>
          <cell r="H613">
            <v>5.0999999999999996</v>
          </cell>
          <cell r="I613" t="str">
            <v>DATES</v>
          </cell>
          <cell r="J613" t="str">
            <v>Medjoul-Large</v>
          </cell>
          <cell r="K613"/>
          <cell r="L613"/>
          <cell r="M613" t="str">
            <v>Medjoul Dates Large</v>
          </cell>
          <cell r="N613" t="str">
            <v>CFPL</v>
          </cell>
          <cell r="O613" t="str">
            <v>Savla</v>
          </cell>
          <cell r="P613" t="str">
            <v>HADIKLAIM DATE GROWERS COOPERATIVE LTD.</v>
          </cell>
          <cell r="Q613"/>
          <cell r="R613">
            <v>0</v>
          </cell>
          <cell r="S613">
            <v>56</v>
          </cell>
          <cell r="T613" t="str">
            <v>31-60 Days</v>
          </cell>
          <cell r="U613">
            <v>1</v>
          </cell>
          <cell r="V613" t="str">
            <v>80378275-334</v>
          </cell>
        </row>
        <row r="614">
          <cell r="E614"/>
          <cell r="F614">
            <v>1</v>
          </cell>
          <cell r="G614">
            <v>4.7</v>
          </cell>
          <cell r="H614">
            <v>4.7</v>
          </cell>
          <cell r="I614" t="str">
            <v>DATES</v>
          </cell>
          <cell r="J614" t="str">
            <v>Medjoul-Large</v>
          </cell>
          <cell r="K614"/>
          <cell r="L614"/>
          <cell r="M614" t="str">
            <v>Medjoul Dates Large</v>
          </cell>
          <cell r="N614" t="str">
            <v>CFPL</v>
          </cell>
          <cell r="O614" t="str">
            <v>Savla</v>
          </cell>
          <cell r="P614" t="str">
            <v>HADIKLAIM DATE GROWERS COOPERATIVE LTD.</v>
          </cell>
          <cell r="Q614"/>
          <cell r="R614">
            <v>0</v>
          </cell>
          <cell r="S614">
            <v>56</v>
          </cell>
          <cell r="T614" t="str">
            <v>31-60 Days</v>
          </cell>
          <cell r="U614">
            <v>1</v>
          </cell>
          <cell r="V614" t="str">
            <v>92930122-1003</v>
          </cell>
        </row>
        <row r="615">
          <cell r="E615"/>
          <cell r="F615">
            <v>1022</v>
          </cell>
          <cell r="G615">
            <v>5</v>
          </cell>
          <cell r="H615">
            <v>5110</v>
          </cell>
          <cell r="I615" t="str">
            <v>DATES</v>
          </cell>
          <cell r="J615" t="str">
            <v>Medjoul-Large</v>
          </cell>
          <cell r="K615"/>
          <cell r="L615"/>
          <cell r="M615" t="str">
            <v>Medjoul Dates Large</v>
          </cell>
          <cell r="N615" t="str">
            <v>CFPL</v>
          </cell>
          <cell r="O615" t="str">
            <v>Savla</v>
          </cell>
          <cell r="P615" t="str">
            <v>HADIKLAIM DATE GROWERS COOPERATIVE LTD.</v>
          </cell>
          <cell r="Q615"/>
          <cell r="R615">
            <v>0</v>
          </cell>
          <cell r="S615">
            <v>56</v>
          </cell>
          <cell r="T615" t="str">
            <v>31-60 Days</v>
          </cell>
          <cell r="U615">
            <v>1022</v>
          </cell>
          <cell r="V615" t="str">
            <v>93111460-1011 to 93111460-1012, 93111652-1017, 93111461-1013, 93111461-1015, 93111580-1016, 93111892-1021 to 93111892-1022, 93111913-1024 to 93111913-1025, 93111713-1018, 93111771-1019, 93111912-1023, 93111912-1026, 93111976-1031 to 93111976-1032, 93111462-1014, 93111831-1020, 93111975-1030, 93111953-1028, 93112013-1033, 93111952-1027, 93111977-1029, 85140342-1 to 85140342-199, 85140342-202 to 85140342-1001</v>
          </cell>
        </row>
        <row r="616">
          <cell r="E616"/>
          <cell r="F616">
            <v>9</v>
          </cell>
          <cell r="G616">
            <v>5.0999999999999996</v>
          </cell>
          <cell r="H616">
            <v>45.9</v>
          </cell>
          <cell r="I616" t="str">
            <v>DATES</v>
          </cell>
          <cell r="J616" t="str">
            <v>Medjoul-Large</v>
          </cell>
          <cell r="K616"/>
          <cell r="L616"/>
          <cell r="M616" t="str">
            <v>Medjoul Dates Large</v>
          </cell>
          <cell r="N616" t="str">
            <v>CFPL</v>
          </cell>
          <cell r="O616" t="str">
            <v>Savla</v>
          </cell>
          <cell r="P616" t="str">
            <v>HADIKLAIM DATE GROWERS COOPERATIVE LTD.</v>
          </cell>
          <cell r="Q616"/>
          <cell r="R616">
            <v>0</v>
          </cell>
          <cell r="S616">
            <v>56</v>
          </cell>
          <cell r="T616" t="str">
            <v>31-60 Days</v>
          </cell>
          <cell r="U616">
            <v>9</v>
          </cell>
          <cell r="V616" t="str">
            <v>93027271-1005, 93027271-1007, 93027272-1006, 93027297-1008 to 93027297-1010, 93026776-1004, 85140342-200 to 85140342-201</v>
          </cell>
        </row>
        <row r="617">
          <cell r="E617"/>
          <cell r="F617">
            <v>1</v>
          </cell>
          <cell r="G617">
            <v>5.4</v>
          </cell>
          <cell r="H617">
            <v>5.4</v>
          </cell>
          <cell r="I617" t="str">
            <v>DATES</v>
          </cell>
          <cell r="J617" t="str">
            <v>Medjoul-Large</v>
          </cell>
          <cell r="K617"/>
          <cell r="L617"/>
          <cell r="M617" t="str">
            <v>Medjoul Dates Large</v>
          </cell>
          <cell r="N617" t="str">
            <v>CFPL</v>
          </cell>
          <cell r="O617" t="str">
            <v>Savla</v>
          </cell>
          <cell r="P617" t="str">
            <v>HADIKLAIM DATE GROWERS COOPERATIVE LTD.</v>
          </cell>
          <cell r="Q617"/>
          <cell r="R617">
            <v>0</v>
          </cell>
          <cell r="S617">
            <v>56</v>
          </cell>
          <cell r="T617" t="str">
            <v>31-60 Days</v>
          </cell>
          <cell r="U617">
            <v>1</v>
          </cell>
          <cell r="V617" t="str">
            <v>85140342-1002</v>
          </cell>
        </row>
        <row r="618">
          <cell r="E618"/>
          <cell r="F618">
            <v>1</v>
          </cell>
          <cell r="G618">
            <v>4.7</v>
          </cell>
          <cell r="H618">
            <v>4.7</v>
          </cell>
          <cell r="I618"/>
          <cell r="J618"/>
          <cell r="K618"/>
          <cell r="L618"/>
          <cell r="M618"/>
          <cell r="N618" t="str">
            <v>CFPL</v>
          </cell>
          <cell r="O618" t="str">
            <v>Savla</v>
          </cell>
          <cell r="P618" t="str">
            <v>HADIKLAIM DATE GROWERS COOPERATIVE LTD.</v>
          </cell>
          <cell r="Q618"/>
          <cell r="R618">
            <v>0</v>
          </cell>
          <cell r="S618">
            <v>56</v>
          </cell>
          <cell r="T618" t="str">
            <v>31-60 Days</v>
          </cell>
          <cell r="U618">
            <v>1</v>
          </cell>
          <cell r="V618" t="str">
            <v>89255125-10</v>
          </cell>
        </row>
        <row r="619">
          <cell r="E619"/>
          <cell r="F619">
            <v>958</v>
          </cell>
          <cell r="G619">
            <v>5</v>
          </cell>
          <cell r="H619">
            <v>4790</v>
          </cell>
          <cell r="I619"/>
          <cell r="J619"/>
          <cell r="K619"/>
          <cell r="L619"/>
          <cell r="M619"/>
          <cell r="N619" t="str">
            <v>CFPL</v>
          </cell>
          <cell r="O619" t="str">
            <v>Savla</v>
          </cell>
          <cell r="P619" t="str">
            <v>HADIKLAIM DATE GROWERS COOPERATIVE LTD.</v>
          </cell>
          <cell r="Q619"/>
          <cell r="R619">
            <v>0</v>
          </cell>
          <cell r="S619">
            <v>56</v>
          </cell>
          <cell r="T619" t="str">
            <v>31-60 Days</v>
          </cell>
          <cell r="U619">
            <v>958</v>
          </cell>
          <cell r="V619" t="str">
            <v>89346365-316, 89346451-320, 89346451-322, 89346478-323, 89346549-325, 89346549-328, 89346623-334, 89346713-338, 89346779-343, 89346844-349, 89346919-353 to 89346919-355, 89346999-357 to 89346999-359, 89347069-364, 89347159-368 to 89347159-370, 89347244-373, 89347244-375 to 89347244-376, 89347326-379 to 89347326-381, 89347402-386, 89347491-390, 89347491-393, 89347572-397 to 89347572-398, 89347643-387, 89347643-399, 89347659-401 to 89347659-403, 89347743-406, 89347352-382, 89347832-413, 89347911-419, 89348005-423, 89348079-429, 89348159-431 to 89348159-432, 89348159-434, 89348292-436 to 89348292-437, 89348292-439, 89348408-442, 89348408-445, 89348902-448, 89348931-447, 89349075-453, 89349228-458, 89349308-456, 89349423-467, 89349547-473, 89349752-477, 89350029-483, 89350192-482, 89350272-492, 89350359-498, 89350488-503, 89350563-507, 89350748-513, 89350854-509, 89350932-522, 89351043-528, 89351162-533, 89351269-537, 89351367-543, 89351429-548, 89350914-520, 89351029-526, 89351119-531, 89351233-535, 89351314-541, 89351388-546, 89351445-551, 89351244-536, 89351320-542, 89351375-544, 89351384-545, 89351413-547, 89351428-549, 89351441-550, 89351448-540, 89351468-552, 89351537-553, 89351549-554, 89351554-555, 89351558-556, 89351568-558, 89351683-563, 89351808-567, 89351894-573, 89351959-578, 89352041-571, 89352092-586, 89352184-592, 89352254-598, 89352303-587, 89352327-605 to 89352327-606, 89352408-612, 89352488-617, 91158881-718 to 91158881-719, 91158955-723, 91158955-725 to 91158955-726, 91159036-729, 91159036-732, 91159118-737, 91159118-739, 91159195-743, 91159227-746, 91159277-747, 91159366-754, 91159366-756 to 91159366-757, 91159434-760 to 91159434-761, 91159495-768 to 91159495-769, 91159576-774 to 91159576-775, 91159647-780, 91159690-783, 89351628-559, 89351715-564, 89351832-568, 89351907-574, 89351964-579, 89352044-584, 89352117-589, 89352196-594, 89352261-599, 89351632-560, 89351719-565, 89351847-569, 89351917-575, 89351662-561, 89351724-557, 89351885-570, 89351943-576, 89352035-581, 89352050-585, 89352124-590, 89352198-595, 89352263-600, 89352404-611, 89351678-562, 89351758-566, 89351888-572, 89351954-577, 89352042-582, 89352103-588, 89352189-593, 89352257-597, 89352316-602, 89352375-609, 89352431-614, 89352578-607, 91158958-724, 91159035-730 to 91159035-731, 91159197-745, 91159280-749, 91159308-752, 91159368-753, 91159436-763, 91159496-765, 91159648-778, 91159648-781, 91159712-784, 91159758-789, 91159780-794, 91159838-799, 91159916-804 to 91159916-805, 91159997-810, 91160051-813, 91160084-816 to 91160084-817, 91160086-818, 91160149-822 to 91160149-824, 91160215-825 to 91160215-826, 91160215-829, 91160216-827, 91160295-831, 91160295-833, 91160296-832, 91160296-835, 91160380-839, 91160380-841, 91160383-837 to 91160383-838, 91160458-846, 91160460-844, 91160460-847, 91160538-850, 91160539-854, 91160616-856, 91160616-859, 91160618-857, 91160696-861, 91160696-863, 91160697-862, 91160697-866, 91160775-869 to 91160775-870, 91160778-868, 91160858-873 to 91160858-874, 91160859-875 to 91160859-877, 91160935-882, 91160936-879, 91160936-881, 91160944-884, 91161016-887 to 91161016-888, 91161017-885, 91161017-889, 91161095-892 to 91161095-893, 91161095-895, 91161100-891, 91161126-896, 91161175-899, 91161175-901, 91161176-898, 91161252-903, 91161253-905, 91161254-904, 91161292-908, 91161334-909 to 91161334-911, 91161373-912, 91161373-914, 91161412-915 to 91161412-917, 91161430-918, 91161445-919 to 91161445-920, 91161520-921 to 91161520-922, 91161522-923, 89351973-580, 89352051-583, 89352133-591, 89352200-596, 89352265-601, 89352326-604, 89352381-610, 89352434-615, 91158880-720 to 91158880-721, 91158989-728, 91159038-733, 91159120-738, 91159198-744, 91159276-748, 91159391-758, 91159435-759, 91159435-762, 91159500-767, 91159578-773, 91159713-785, 91159713-787, 91159774-790, 91159840-797, 91159998-811, 89352315-603, 89352368-608, 89352423-613, 89352513-618, 91158875-619, 91159115-735, 91159196-742, 91159278-750 to 91159278-751, 91159494-766, 91159525-770, 91159574-771, 91159630-777, 91159670-782, 91159714-786, 91159773-791 to 91159773-792, 91159837-796, 91159837-798, 91159915-802 to 91159915-803, 91159970-807, 91159999-809, 91159999-812, 91160066-815, 91160132-819 to 91160132-821, 91160214-828, 91160251-830, 91160297-834, 91160408-842, 91160459-843, 91160537-851 to 91160537-853, 91160615-855, 91160615-858, 91160780-867, 91160808-872, 91161179-900, 91161207-902, 91161277-907, 91161374-913, 91161519-924 to 91161519-925, 91161596-932, 91161598-930, 91161667-936 to 91161667-937, 91161711-940, 91161740-941 to 91161740-943, 91161772-945 to 91161772-946, 91161815-948, 91161839-951 to 91161839-952, 91161895-955 to 91161895-956, 91161896-954, 91161974-959, 91161974-962, 91161975-960 to 91161975-961, 91162063-963 to 91162063-964, 91162141-968, 91162140-621, 91162249-624, 91162249-626, 91162294-625, 91162315-628, 91162375-632, 89352475-616, 89339562-21, 89339670-28, 89339828-40, 89340033-46 to 89340033-47, 89340059-48, 89340173-50 to 89340173-51, 89340174-52, 89340174-54, 89340208-49, 89340290-55, 89340338-59, 89340343-60, 89340402-64, 89340411-65, 89340500-69, 89340487-68, 89340570-71, 89340570-74, 89340573-75, 89340674-76, 89340683-80, 89340753-82, 89340753-85, 89340822-88 to 89340822-90, 89340885-93, 89340898-94 to 89340898-95, 89340943-96 to 89340943-98, 89340987-99, 89340987-101, 89341052-102, 89341052-104, 89341121-105, 89341163-108, 89341163-110, 89341238-111 to 89341238-112, 89341329-120, 89341249-114, 89341330-119, 89341346-122, 89341479-125, 89341479-127, 89341592-131 to 89341592-132, 89341682-139, 89341760-143, 89341760-145 to 89341760-146, 89341840-149, 89341840-151 to 89341840-152, 89341921-155 to 89341921-156, 89342008-165, 89342112-172, 89342357-177 to 89342357-178, 89342517-181 to 89342517-182, 89342679-185, 89342906-191, 89343095-197, 89343188-201, 89343284-205 to 89343284-207, 89343368-210, 89343475-216, 89343475-219, 89343572-223, 89343572-225, 89343677-228, 89343677-230, 89341416-123 to 89341416-124, 89341480-126, 89341480-128, 89341680-138, 89341759-144, 89341796-148, 89341842-153, 89342005-161 to 89342005-162, 89342111-171, 89342276-175, 89342437-179 to 89342437-180, 89342678-186, 89342831-189 to 89342831-190, 89343094-195 to 89343094-196, 89343187-200, 89343369-211 to 89343369-212, 89343676-229, 89343771-234 to 89343771-235, 89343936-231, 89344028-241, 89344127-248, 89344243-243, 89344495-258, 89344606-264, 89344730-268, 89344881-270, 89345024-276, 89345147-281, 89345288-286, 89345403-291, 89345634-294, 89345634-296, 89345918-301 to 89345918-303, 89346168-306 to 89346168-308, 89346275-311, 89346275-313 to 89346275-314, 89346368-317, 89346368-319, 89346452-321, 89346452-324, 89346548-326 to 89346548-327, 89346617-333, 89346698-336 to 89346698-337, 89346765-341, 89346838-347 to 89346838-348, 89346918-352, 89346998-360, 89347055-346, 89347083-366, 89347171-372, 89347256-377, 89347400-383, 89347400-385, 89347571-394 to 89347571-395, 89347719-405, 89347795-410, 89347880-415, 89347921-404, 89348007-424, 89348087-430, 89348170-435, 89348293-438, 89348409-444, 89348409-446, 89348903-450 to 89348903-451, 89349076-452, 89349076-454 to 89349076-455, 89349278-461, 89349397-465, 89349532-471, 89349648-476, 89349813-480, 89350127-486, 89350244-490, 89350333-496, 89350453-501, 89350556-505, 89350633-511, 89350834-516, 89341516-129, 91158956-727, 91159116-736, 91159194-741, 91159367-755, 91159449-764, 91159577-772, 91159606-776, 91159650-779, 91159772-793, 91159972-808, 91160053-814, 91160330-836, 91160382-840, 91160566-849, 91160699-865, 91160776-871, 91160886-878, 91160934-880, 91160947-883, 91161018-886, 91161096-894, 91161178-897, 91161279-906, 91161532-926, 91161595-927, 91161597-929, 91161597-931, 91161626-928, 91161651-933, 91161668-935, 91161691-938, 91161812-947, 91161814-949 to 91161814-950, 91161891-953, 91161906-957, 91162062-966, 91162066-965, 91162138-620, 91162231-622, 91162299-627, 91162316-629, 91162376-630, 91162376-634, 91162434-636 to 91162434-637, 91162435-633, 91162435-635, 91162494-638 to 91162494-639, 91162494-642, 91162495-641, 91162551-643, 91162567-644 to 91162567-645, 91162612-646, 91162612-648, 91162626-647, 91162626-650, 91162694-651, 91162694-655, 91162695-649, 91162695-652, 89341620-133, 91158926-722, 91159729-788, 91159835-795, 91159914-801, 91159931-806, 91160457-845, 91160490-848, 91160647-860, 89341681-137, 89341681-140, 89341841-150, 89341923-158 to 89341923-159, 89342099-167 to 89342099-169, 89342277-176, 89342761-187 to 89342761-188, 89342937-192, 89343189-202, 89343476-217 to 89343476-218, 89343571-222, 89343571-224, 89343652-215, 89343770-232 to 89343770-233, 89343856-237, 89344026-242, 89344126-247, 89344242-252, 89344488-256, 89344584-263, 89344731-266, 89344731-269, 89344999-271 to 89344999-272, 89345137-279, 89345200-275, 89345289-285, 89345413-292, 89346169-305, 89346366-315, 89346562-330, 89346628-335, 89346717-340, 89346780-345, 89346842-350, 89347070-363, 89347070-365, 89347158-371, 89347328-378, 89347492-389, 89347492-391 to 89347492-392, 89347573-396, 89347742-407, 89347742-409, 89347831-414, 89347904-417, 89347999-422, 89348078-427 to 89348078-428, 89348160-433, 89348291-440, 89348407-443, 89348905-449, 89349243-459, 89349353-463, 89349468-469, 89349597-474, 89349769-478, 89350033-484, 89350230-488, 89350303-494, 89350433-499, 89350512-493, 89350593-508, 89350763-514, 89350872-518, 89350994-524, 89351073-529, 89351172-534, 89351273-538, 89341684-141, 89341920-157, 89341951-160, 89342002-164, 89342197-173 to 89342197-174, 89342599-183 to 89342599-184, 89343037-193, 89343138-198, 89343221-204, 89343320-208 to 89343320-209, 89343397-213 to 89343397-214, 89343574-221, 89343678-226, 89343772-236, 89344010-240, 89344105-246, 89344247-251, 89344491-257, 89344585-261, 89344732-259, 89344732-267, 89345139-278, 89345244-282, 89345354-288, 89345559-293, 89345649-297, 89346276-312, 89346367-318, 89346618-332, 89346756-329, 89346782-344, 89346846-351, 89346935-356, 89347016-361, 89347246-374, 89347327-367, 89347421-388, 89347660-400, 89347829-412, 89347903-418, 89347987-421, 89348224-425, 89349086-457, 89349293-462, 89349413-466, 89349544-472, 89349703-468, 89349833-481, 89350172-487, 89350253-491, 89350354-497, 89350473-502, 89350560-506, 89350647-512, 89350848-517, 89350917-521, 89351035-527, 89351153-532, 89341716-142, 89341761-147, 89341875-154, 89342006-163, 89343038-194, 89343137-199, 89343220-203, 89343474-220, 89343675-227, 89343998-238 to 89343998-239, 89344104-244 to 89344104-245, 89344240-249, 89344486-255, 89344583-260, 89344583-262, 89345000-274, 89345142-280, 89345282-283, 89345381-290, 89345575-287, 89345857-298, 89346081-299, 89346453-309, 89346619-331, 89346700-339, 89346772-342, 89347066-362, 89347399-384, 89347741-408, 89347807-411, 89347891-416, 89347975-420, 89348065-426, 89348904-441, 89349263-460, 89349383-464, 89349518-470, 89349633-475, 89349772-479, 89350053-485, 89350232-489, 89350313-495, 89350439-500, 89350548-504, 89350607-510, 89350813-515, 89350899-519, 89351013-525, 89351112-530, 89351192-523, 89351293-539, 89342036-166, 91159068-734, 91159865-800, 91160723-864, 91161042-890, 91161652-934, 91161710-939, 91161752-944, 91161929-958, 91162142-967, 91162250-623, 91162358-631, 91162550-640, 91162739-653 to 91162739-654, 91162774-657, 91162774-660, 91162775-656, 91162776-659, 91162811-658, 91162811-663, 91162853-661, 91162853-664, 91162854-666, 91162857-662, 91162863-665, 91162874-667, 91162915-668, 91162915-670, 91162916-671 to 91162916-672, 91162917-669, 91162950-675, 91163001-676, 91163002-674, 91163002-680, 91163003-678, 91163005-673, 91163040-679, 91163074-677, 91163076-684, 91163076-686, 91163077-681, 91163077-683, 91163110-682, 91163154-687, 91163158-689, 91163160-685, 91163160-688, 91163162-690, 91163165-692, 91163236-693, 91163237-691, 91163237-698, 91163238-696, 91163239-695, 91163263-694, 91163318-699, 91163337-697, 91163339-701 to 91163339-702, 91163340-700, 91163340-705, 91163390-703, 91163409-704, 91163411-706, 91163412-710, 91163414-709, 91163414-711, 89342135-170, 89344241-250, 89344273-253, 91159149-740, 89344490-254, 89344760-265, 89344998-273, 89345143-277, 89345283-284, 89345382-289, 89345633-295, 89345917-300, 89346147-304, 89346262-310, 89338632-11, 89338663-14 to 89338663-15, 89339284-16, 89339525-18, 89339528-22, 89339643-23, 89339643-25, 89339644-24, 89339718-29, 89339718-31, 89339730-33 to 89339730-34, 89339803-35 to 89339803-36, 89339803-38, 89339804-39, 89340032-43 to 89340032-45, 89338641-12, 89338664-13, 89339523-19, 89339526-17, 89339526-20, 89339642-26, 89339647-27, 89339719-30, 89339721-32, 89339802-37, 89339876-42, 89339877-41, 89340172-53, 89340291-56 to 89340291-58, 89340399-61, 89340401-63, 89340404-62, 89340476-66, 89340486-67, 89340498-70, 89340562-72, 89340563-73, 89340671-77, 89340671-79, 89340676-78, 89340741-81, 89340750-83 to 89340750-84, 89340797-86, 89340806-87, 89340824-91, 89340876-92, 89340988-100, 89341053-103, 89341118-107, 89341119-106, 89341161-109, 89341239-113, 89341248-115, 89341277-116, 89341332-117, 89341333-118, 89341338-121, 89341495-130, 89341593-134, 89341593-136, 89341594-135, 91163671-717, 91163451-707, 91163737-715, 91163490-708, 91163787-713, 91163551-712, 91163810-716, 91163611-714</v>
          </cell>
        </row>
        <row r="620">
          <cell r="E620"/>
          <cell r="F620">
            <v>9</v>
          </cell>
          <cell r="G620">
            <v>5.0999999999999996</v>
          </cell>
          <cell r="H620">
            <v>45.9</v>
          </cell>
          <cell r="I620"/>
          <cell r="J620"/>
          <cell r="K620"/>
          <cell r="L620"/>
          <cell r="M620"/>
          <cell r="N620" t="str">
            <v>CFPL</v>
          </cell>
          <cell r="O620" t="str">
            <v>Savla</v>
          </cell>
          <cell r="P620" t="str">
            <v>HADIKLAIM DATE GROWERS COOPERATIVE LTD.</v>
          </cell>
          <cell r="Q620"/>
          <cell r="R620">
            <v>0</v>
          </cell>
          <cell r="S620">
            <v>56</v>
          </cell>
          <cell r="T620" t="str">
            <v>31-60 Days</v>
          </cell>
          <cell r="U620">
            <v>9</v>
          </cell>
          <cell r="V620" t="str">
            <v>89202021-1, 89202135-4, 89202136-5, 89202287-9, 89202063-2, 89202121-3, 89202132-6, 89202203-7, 89202244-8</v>
          </cell>
        </row>
        <row r="621">
          <cell r="E621"/>
          <cell r="F621">
            <v>12</v>
          </cell>
          <cell r="G621">
            <v>5.4</v>
          </cell>
          <cell r="H621">
            <v>64.8</v>
          </cell>
          <cell r="I621" t="str">
            <v>DATES</v>
          </cell>
          <cell r="J621" t="str">
            <v>Deri</v>
          </cell>
          <cell r="K621"/>
          <cell r="L621"/>
          <cell r="M621" t="str">
            <v>Deri Dates</v>
          </cell>
          <cell r="N621" t="str">
            <v>CFPL</v>
          </cell>
          <cell r="O621" t="str">
            <v>Savla</v>
          </cell>
          <cell r="P621" t="str">
            <v>HADIKLAIM DATE GROWERS COOPERATIVE LTD.</v>
          </cell>
          <cell r="Q621"/>
          <cell r="R621">
            <v>0</v>
          </cell>
          <cell r="S621">
            <v>56</v>
          </cell>
          <cell r="T621" t="str">
            <v>31-60 Days</v>
          </cell>
          <cell r="U621">
            <v>12</v>
          </cell>
          <cell r="V621" t="str">
            <v>92656615-120 to 92656615-121, 92656615-124 to 92656615-125, 92656685-130, 92656718-127 to 92656718-128, 92656718-131, 92656614-122, 92656717-126, 92656717-129, 92656655-123</v>
          </cell>
        </row>
        <row r="622">
          <cell r="E622"/>
          <cell r="F622">
            <v>116</v>
          </cell>
          <cell r="G622">
            <v>5.7</v>
          </cell>
          <cell r="H622">
            <v>661.2</v>
          </cell>
          <cell r="I622" t="str">
            <v>DATES</v>
          </cell>
          <cell r="J622" t="str">
            <v>Deri</v>
          </cell>
          <cell r="K622"/>
          <cell r="L622"/>
          <cell r="M622" t="str">
            <v>Deri Dates</v>
          </cell>
          <cell r="N622" t="str">
            <v>CFPL</v>
          </cell>
          <cell r="O622" t="str">
            <v>Savla</v>
          </cell>
          <cell r="P622" t="str">
            <v>HADIKLAIM DATE GROWERS COOPERATIVE LTD.</v>
          </cell>
          <cell r="Q622"/>
          <cell r="R622">
            <v>0</v>
          </cell>
          <cell r="S622">
            <v>56</v>
          </cell>
          <cell r="T622" t="str">
            <v>31-60 Days</v>
          </cell>
          <cell r="U622">
            <v>116</v>
          </cell>
          <cell r="V622" t="str">
            <v>87030717-1 to 87030717-116</v>
          </cell>
        </row>
        <row r="623">
          <cell r="E623"/>
          <cell r="F623">
            <v>3</v>
          </cell>
          <cell r="G623">
            <v>5.8</v>
          </cell>
          <cell r="H623">
            <v>17.399999999999999</v>
          </cell>
          <cell r="I623" t="str">
            <v>DATES</v>
          </cell>
          <cell r="J623" t="str">
            <v>Deri</v>
          </cell>
          <cell r="K623"/>
          <cell r="L623"/>
          <cell r="M623" t="str">
            <v>Deri Dates</v>
          </cell>
          <cell r="N623" t="str">
            <v>CFPL</v>
          </cell>
          <cell r="O623" t="str">
            <v>Savla</v>
          </cell>
          <cell r="P623" t="str">
            <v>HADIKLAIM DATE GROWERS COOPERATIVE LTD.</v>
          </cell>
          <cell r="Q623"/>
          <cell r="R623">
            <v>0</v>
          </cell>
          <cell r="S623">
            <v>56</v>
          </cell>
          <cell r="T623" t="str">
            <v>31-60 Days</v>
          </cell>
          <cell r="U623">
            <v>3</v>
          </cell>
          <cell r="V623" t="str">
            <v>87815468-117, 87815517-119, 87815520-118</v>
          </cell>
        </row>
        <row r="624">
          <cell r="E624"/>
          <cell r="F624">
            <v>1</v>
          </cell>
          <cell r="G624">
            <v>3.7</v>
          </cell>
          <cell r="H624">
            <v>3.7</v>
          </cell>
          <cell r="I624" t="str">
            <v>DATES</v>
          </cell>
          <cell r="J624" t="str">
            <v>Deri</v>
          </cell>
          <cell r="K624"/>
          <cell r="L624"/>
          <cell r="M624" t="str">
            <v>Deri Dates</v>
          </cell>
          <cell r="N624" t="str">
            <v>CFPL</v>
          </cell>
          <cell r="O624" t="str">
            <v>Savla</v>
          </cell>
          <cell r="P624" t="str">
            <v>HADIKLAIM DATE GROWERS COOPERATIVE LTD.</v>
          </cell>
          <cell r="Q624"/>
          <cell r="R624">
            <v>0</v>
          </cell>
          <cell r="S624">
            <v>54</v>
          </cell>
          <cell r="T624" t="str">
            <v>31-60 Days</v>
          </cell>
          <cell r="U624">
            <v>1</v>
          </cell>
          <cell r="V624" t="str">
            <v>63488584-2681</v>
          </cell>
        </row>
        <row r="625">
          <cell r="E625"/>
          <cell r="F625">
            <v>2559</v>
          </cell>
          <cell r="G625">
            <v>5</v>
          </cell>
          <cell r="H625">
            <v>12795</v>
          </cell>
          <cell r="I625" t="str">
            <v>DATES</v>
          </cell>
          <cell r="J625" t="str">
            <v>Deri</v>
          </cell>
          <cell r="K625"/>
          <cell r="L625"/>
          <cell r="M625" t="str">
            <v>Deri Dates</v>
          </cell>
          <cell r="N625" t="str">
            <v>CFPL</v>
          </cell>
          <cell r="O625" t="str">
            <v>Savla</v>
          </cell>
          <cell r="P625" t="str">
            <v>HADIKLAIM DATE GROWERS COOPERATIVE LTD.</v>
          </cell>
          <cell r="Q625"/>
          <cell r="R625">
            <v>0</v>
          </cell>
          <cell r="S625">
            <v>54</v>
          </cell>
          <cell r="T625" t="str">
            <v>31-60 Days</v>
          </cell>
          <cell r="U625">
            <v>2559</v>
          </cell>
          <cell r="V625" t="str">
            <v>46723936-1514, 40397516-1 to 40397516-1000, 46711029-1003, 46711157-1008, 46711387-1013, 46711532-1018, 46711647-1023, 46711038-1004, 46711352-1009, 46711450-1014, 46711540-1019, 46711671-1024, 46711137-1005, 46711360-1010, 46711466-1015 to 46711466-1016, 46711555-1020, 46723665-1501, 46723755-1506, 46723876-1511, 46723996-1516, 46724191-1521, 46724561-1526, 46723688-1502, 46723778-1507, 46723899-1512, 46724006-1517, 46724256-1522, 46724601-1527, 46724033-1519, 46724408-1524, 46724925-1529, 46725700-1535, 46725911-1540, 46726085-1545, 46726571-1550, 46726857-1554, 46723961-1515, 46724156-1520, 46724463-1525, 46725208-1530, 46725728-1536, 46725949-1541, 46726156-1546, 46726607-1551, 46726912-1555, 58213586-2156, 58213695-2161, 58213828-2166, 58213951-2171, 58214048-2176, 58214180-2181, 58214259-2186, 58214376-2191, 58214484-2196, 58213718-2162, 58213859-2167, 58213962-2172, 58214077-2177, 58214198-2182, 58214309-2187, 58214384-2192, 58214507-2197, 58214596-2202, 58214716-2207, 58214810-2212, 58214910-2217, 58213755-2163, 58213878-2168, 58213973-2173, 58214108-2178, 58214220-2183, 58214319-2188, 58214423-2193, 58214525-2198, 58214650-2203, 58214729-2208, 58214823-2213, 58213761-2164, 58213910-2169, 58213985-2174, 58214129-2179, 58214230-2184, 58214339-2189, 58214444-2194, 58214542-2199, 58214654-2204, 58214752-2209, 58214844-2214, 58221667-2467, 58221819-2472, 58222031-2478, 58222189-2483, 58221745-2470, 58221924-2474, 58222047-2479, 58221769-2468, 58221818-2473, 58222027-2477, 58222109-2482, 58222436-2487, 58221770-2469, 58221812-2471, 46710964-1001, 46710970-1002, 46711144-1006, 46711152-1007, 46711368-1011, 46711376-1012, 46711521-1017, 46711571-1021, 46711584-1022, 46711697-1025, 46711727-1026, 46711754-1027, 46711772-1028, 46711789-1029, 46711801-1030, 46711836-1031, 46711852-1032, 46711870-1033, 46711881-1034, 46711956-1035 to 46711956-1036, 46711971-1037, 46711988-1038, 46712042-1039, 46712152-1040, 46712059-1041, 46712072-1042, 46712087-1043, 46712095-1044, 46712139-1045, 46712169-1046, 46712237-1047, 46712247-1048, 46712244-1049, 46712263-1050, 46712269-1051, 46712278-1052, 46712341-1053, 46712349-1054, 46712357-1055, 46712429-1056, 46712442-1057 to 46712442-1058, 46712455-1059, 46712456-1060, 46712469-1061, 46712540-1062, 46712558-1063, 46712608-1064, 46712617-1065, 46712636-1066, 46712646-1067, 46712655-1068, 46712711-1069, 46712735-1070, 46712746-1071, 46712754-1072, 46712827-1073, 46712829-1074, 46712839-1075, 46712853-1076, 46712928-1077, 46712990-1078, 46713013-1079, 46713027-1080, 46713052-1081, 46713073-1082, 46713092-1083, 46713132-1084, 46713125-1085, 46713112-1086, 46713169-1087, 46713195-1088, 46713211-1089, 46713229-1090, 46713238-1091, 46713350-1092, 46713360-1093, 46713387-1094, 46713390-1095, 46713544-1096, 46713519-1097, 46713417-1098, 46713414-1099, 46713564-1100, 46713586-1101, 46713617-1102, 46713651-1103, 46713680-1104, 46713712-1105, 46713776-1106, 46713807-1107, 46713831-1108, 46713852-1109, 46713867-1110, 46713885-1111, 46713914-1112, 46713939-1113, 46713976-1114, 46714000-1115, 46714012-1116, 46714029-1117, 46714082-1118, 46714102-1119, 46714117-1120, 46714151-1121, 46714189-1122, 46714200-1123, 46714222-1124, 46714231-1125, 46714283-1126, 46714295-1127, 46714312-1128, 46714334-1129, 46714365-1130, 46714379-1131, 46714391-1132, 46714410-1133, 46714420-1134, 46714432-1135, 46714471-1136, 46714488-1137, 46714498-1138, 46714515-1139, 46714531-1140, 46714546-1141, 46714566-1142, 46714613-1143, 46714625-1144, 46714637-1145, 46714652-1146, 46714663-1147, 46714675-1148, 46714718-1149, 46714733-1150, 46714815-1151, 46714816-1152 to 46714816-1153, 46714828-1154, 46714839-1155, 46714889-1156, 46714918-1157, 46714933-1158, 46714947-1159, 46714946-1160, 46714989-1161, 46714998-1162, 46715035-1163, 46715057-1164, 46715081-1165, 46715097-1166, 46715105-1167, 46715122-1168, 46715134-1169, 46715150-1170, 46715226-1171, 46715200-1172, 46715189-1173, 46715256-1174, 46715294-1175, 46715295-1176 to 46715295-1177, 46715313-1178, 46715336-1179, 46715385-1180, 46715401-1181, 46715413-1182, 46715421-1183, 46715439-1184, 46715451-1185, 46715540-1186, 46715554-1187, 46715572-1188, 46715591-1189, 46715613-1190, 46715665-1191, 46715679-1192, 46715678-1193, 46715730-1194, 46715747-1195, 46715761-1196, 46715787-1197, 46715816-1198, 46715829-1199, 46715850-1200, 46715871-1201, 46715892-1202, 46715913-1203, 46715943-1204, 46715962-1205, 46715985-1206, 46716011-1207, 46716030-1208, 46716065-1209, 46716047-1210, 46716097-1211, 46716123-1212, 46716146-1213, 46716259-1214, 46716199-1215, 46716308-1216, 46716165-1217, 46716181-1218, 46716270-1219, 46716292-1220, 46717076-1221, 46716368-1222, 46716329-1223, 46716487-1224, 46716385-1225, 46716389-1226, 46716566-1227, 46716504-1228, 46716465-1229, 46716524-1230, 46716543-1231, 46716602-1232, 46716807-1233, 46716647-1234, 46716678-1235, 46716710-1236, 46716728-1237, 46716840-1238, 46716864-1239, 46716916-1240, 46717104-1241, 46717294-1242, 46717109-1243, 46717238-1244, 46717279-1245, 46717315-1246, 46717334-1247, 46717361-1248, 46717375-1249, 46717395-1250, 46717490-1251, 46717407-1252, 46717433-1253, 46717446-1254, 46717483-1255, 46717508-1256, 46717523-1257, 46717536-1258, 46717572-1259, 46717579-1260, 46717755-1261, 46717755-1267, 46717590-1262, 46717613-1263, 46717645-1264, 46717674-1265, 46717724-1266, 46717757-1268, 46717772-1269, 46717819-1270, 46717867-1271, 46717951-1272, 46717831-1273, 46717924-1274, 46717932-1275, 46717976-1276, 46718033-1277, 46718051-1278, 46718070-1279, 46718086-1280, 46718261-1281, 46718105-1282, 46718120-1283, 46718138-1284, 46718147-1285, 46718164-1286, 46718191-1287, 46718213-1288, 46718221-1289, 46718235-1290, 46718257-1291, 46718288-1292, 46718324-1293, 46718337-1294, 46718340-1295, 46718354-1296, 46718453-1297, 46718373-1298, 46718462-1299, 46718477-1300, 46718483-1301, 46718514-1302 to 46718514-1303, 46718914-1304, 46718558-1305, 46718563-1306, 46718654-1307, 46718666-1308, 46718665-1309, 46718674-1310, 46718685-1311, 46718694-1312, 46718789-1313, 46718810-1314, 46718815-1315, 46718892-1316, 46718904-1317, 46718990-1318, 46719002-1319, 46719014-1320, 46719089-1321, 46719098-1322, 46719215-1323, 46719107-1324, 46719207-1325, 46719210-1326, 46719315-1327, 46719324-1328, 46719336-1329, 46719416-1330, 46719470-1331, 46719484-1332, 46719519-1333, 46719569-1334, 46719577-1335, 46719617-1336, 46719687-1337 to 46719687-1338, 46719719-1339, 46719779-1340, 46719794-1341, 46719823-1342, 46719915-1343, 46720034-1344, 46719938-1345, 46719947-1346, 46720105-1347, 46720120-1348, 46720207-1349, 46720220-1350, 46720231-1351, 46720377-1352, 46720303-1353, 46720355-1354, 46720365-1355, 46720396-1356, 46720398-1357, 46720421-1358, 46720519-1359, 46720533-1360, 46720575-1361, 46720544-1362, 46720556-1363, 46720572-1364, 46720658-1365, 46720691-1366, 46720690-1367 to 46720690-1368, 46720708-1369, 46720709-1370, 46720756-1371, 46720844-1372 to 46720844-1373, 46720856-1374, 46720860-1375, 46720870-1376, 46720871-1377, 46720957-1378, 46720959-1379, 46720972-1380, 46720983-1381, 46720995-1382, 46721009-1383, 46721068-1384, 46721084-1385, 46721104-1386, 46721119-1387, 46721120-1388, 46721158-1389, 46721174-1390, 46721181-1391, 46721216-1392, 46721223-1393, 46721247-1394, 46721283-1395, 46721296-1396, 46721299-1397, 46721379-1398, 46721395-1399, 46721409-1400, 46721420-1401, 46721438-1402, 46721457-1403, 46721486-1404, 46721503-1405, 46721560-1406, 46721571-1407, 46721583-1408, 46721593-1409, 46721612-1410, 46721615-1411, 46721692-1412, 46721687-1413, 46721706-1414 to 46721706-1415, 46721716-1416, 46721721-1417, 46721813-1418, 46721816-1419, 46721823-1420, 46721820-1421, 46721837-1422, 46721840-1423, 46721944-1424, 46721931-1425, 46721951-1426, 46721945-1427, 46721956-1428 to 46721956-1429, 46722140-1430, 46722141-1431, 46722143-1432, 46722156-1433, 46722171-1434, 46722184-1435, 46722329-1436, 46722358-1437, 46722371-1438, 46722375-1439, 46722398-1440, 46722418-1441, 46722446-1442, 46722463-1443, 46722477-1444, 46722496-1445, 46722517-1446, 46722536-1447, 46722553-1448, 46722564-1449, 46722584-1450, 46722606-1451, 46722614-1452, 46722645-1453, 46722656-1454, 46722665-1455, 46722680-1456, 46722713-1457, 46722727-1458, 46722756-1459, 46722778-1460, 46722779-1461, 46722837-1462, 46722850-1463, 46722880-1464, 46722860-1465, 46722944-1466, 46722957-1467, 46722976-1468, 46722986-1469, 46723002-1470, 46723035-1471, 46723045-1472, 46723067-1473, 46723183-1474, 46723138-1475, 46723140-1476, 46723153-1477, 46723294-1478, 46723189-1479, 46723197-1480, 46723295-1481, 46723295-1484, 46723238-1482, 46723245-1483, 46723257-1485, 46723442-1486, 46723337-1487, 46723349-1488, 46723356-1489, 46723396-1490, 46723397-1491, 46723416-1492, 46723454-1493, 46723460-1494, 46723568-1495, 46723556-1496, 46723581-1497, 46723601-1498, 46723609-1499, 46723624-1500, 46723692-1503, 46723736-1504, 46723752-1505, 46723806-1508, 46723810-1509, 46723859-1510, 46723919-1513, 46724020-1518, 46724337-1523, 46724636-1528, 46725465-1531, 46725564-1532, 46726699-1533, 46725667-1534, 46725790-1537, 46725836-1538, 46725848-1539, 46725972-1542, 46726029-1543, 46726076-1544, 46726279-1547, 46726306-1548, 46726336-1549, 46726635-1552, 46726665-1553, 46726948-1556, 46727005-1557, 46727124-1558, 46727043-1559, 46727881-1560, 46728008-1561, 46727825-1562, 46728090-1563, 46728161-1564, 46728225-1565, 46728307-1566, 46728877-1567, 46728909-1568, 46729170-1569, 46729028-1570, 46729076-1571, 46729093-1572, 46729114-1573, 46729189-1574, 46729219-1575, 46729247-1576, 46729276-1577, 46729289-1578, 46729310-1579, 46729368-1580, 46729421-1581, 46729460-1582, 46729509-1583, 46729575-1584, 46729597-1585, 46729621-1586, 46729639-1587, 46729763-1588, 46729789-1589, 46729805-1590, 46729828-1591, 46729851-1592, 46729939-1593, 46729970-1594, 46729996-1595, 46730037-1596, 46730074-1597, 46730095-1598, 46730130-1599, 46730168-1600, 46730235-1601, 46730189-1602, 46730271-1603, 46730300-1604, 46730325-1605, 46730348-1606, 46730371-1607, 46730399-1608, 46730420-1609, 46730458-1610, 46730480-1611, 46730516-1612, 46730540-1613, 46730589-1614, 46730620-1615, 46730656-1616, 46730774-1617, 46730736-1618, 46730708-1619, 46730681-1620, 46730817-1621, 46730867-1622, 46730896-1623, 46730934-1624, 46730973-1625, 46731018-1626, 46731049-1627, 46731152-1628, 46731195-1629, 46731242-1630, 46731307-1631, 46731644-1632, 46731669-1633, 46731703-1634, 46731862-1635, 46731904-1636, 46731938-1637, 46731971-1638, 46732059-1639, 46732017-1640, 46732102-1641, 46732142-1642, 46732179-1643, 46732219-1644, 46732246-1645, 46732281-1646, 46732309-1647, 46732350-1648, 46732384-1649, 46732412-1650, 46732436-1651, 46732454-1652, 46732470-1653, 46732492-1654, 46732510-1655, 46732528-1656, 46732559-1657, 46732587-1658, 46732611-1659, 46732637-1660, 46732660-1661, 46732675-1662, 46732752-1663, 46732785-1664, 46732821-1665, 46732848-1666, 46732870-1667, 46732893-1668, 46732928-1669, 46732954-1670, 46732971-1671, 46732990-1672, 46733017-1673, 46733039-1674, 46733055-1675, 46733080-1676, 46733108-1677, 46733129-1678, 46733153-1679, 46733176-1680, 46733215-1681, 46733232-1682, 46733258-1683, 46733496-1684, 46733292-1685, 46733320-1686, 46733353-1687, 46733459-1688, 46733647-1689, 46733526-1690, 46733562-1691, 46733612-1692, 46733682-1693, 46733713-1694, 46733742-1695, 46733829-1696, 46734762-1697, 46733964-1698, 46733863-1699, 46734315-1700, 46734355-1701, 46734899-1702, 46734937-1703, 46735068-1704, 46735013-1705, 46735129-1706, 46735165-1707, 46735209-1708, 46735246-1709, 46735293-1710, 46735360-1711, 46735411-1712, 46735480-1713, 46735558-1714, 46735633-1715, 46735718-1716, 46736996-1717, 46736171-1718, 46736932-1719, 46736014-1720, 46736279-1721, 46736362-1722, 46737068-1723, 46737192-1724, 46736607-1725, 46736751-1726, 46738237-1727, 46736888-1728, 46737272-1729, 46737330-1730, 46737368-1731, 46737399-1732, 46737440-1733, 46737525-1734, 46737560-1735, 46737713-1736, 46738412-1737, 46737887-1738, 46738015-1739, 46738163-1740, 46738923-1741, 46738624-1742, 46738759-1743, 46741240-1744, 46739045-1745, 46739180-1746, 46739317-1747, 46739482-1748, 46739625-1749, 46739772-1750, 46739899-1751, 46740986-1752, 46740488-1753, 46740812-1754, 46741007-1755, 46741029-1756, 46741106-1757, 46741128-1758, 46741153-1759, 46741176-1760, 46741200-1761, 46741259-1762, 46741292-1763, 46741317-1764, 46741342-1765, 46741393-1766, 46741454-1767, 46741523-1768, 46741616-1769, 46741680-1770, 46741731-1771, 46741832-1772, 46741909-1773, 46741940-1774, 46742022-1775, 46742076-1776, 46742104-1777, 46742214-1778, 46742237-1779, 46742257-1780, 46742299-1781, 46742320-1782, 46742345-1783, 46742385-1784, 46742411-1785, 46742431-1786, 46742456-1787, 46742485-1788, 46742509-1789, 46742529-1790, 46742552-1791, 46742589-1792, 46742620-1793, 46742652-1794, 46742725-1795, 46742801-1796, 46742917-1797, 46742955-1798, 46742994-1799, 46743035-1800, 46743079-1801, 46743120-1802, 46743182-1803, 46743223-1804, 46743369-1805, 46743482-1806, 46743949-1807, 46743538-1808, 46743573-1809, 46743603-1810, 46743685-1811, 46743781-1812, 46743815-1813, 46743850-1814, 46743903-1815, 46744033-1816, 46744078-1817, 46744160-1818, 46744343-1819, 46744945-1820, 46744745-1821, 46745060-1822, 46745099-1823, 46745172-1824, 46745462-1825, 46745545-1826, 46746009-1827, 46745584-1828, 46745799-1829, 46746300-1830, 46745838-1831, 46745923-1832, 46746098-1833, 46746262-1834, 46746736-1835, 46746353-1836, 46746431-1837, 46746543-1838, 46746385-1839, 46746585-1840, 46746637-1841, 46746675-1842, 46746799-1843, 46747086-1844, 46746888-1845, 46747812-1846, 46747276-1847, 46748280-1848, 46747618-1849, 46747364-1850, 46747524-1851, 46747932-1852, 46748127-1853, 46747978-1854, 46748064-1855, 46748180-1856, 46748222-1857, 46748459-1858, 46748339-1859, 46748553-1860, 46748508-1861, 46748597-1862, 46748709-1863, 46748757-1864, 46748798-1865, 46748850-1866, 46748896-1867, 46748939-1868, 46748989-1869, 46749050-1870, 46749119-1871, 46749174-1872, 46749213-1873, 46749266-1874, 46749319-1875, 46749518-1876, 46749449-1877, 46749374-1878, 46749488-1879, 46749559-1880, 46749604-1881, 46749642-1882, 46749702-1883, 46749772-1884, 46750035-1885, 46749824-1886, 46749854-1887, 46749899-1888, 46749976-1889, 46750096-1890, 46750145-1891, 46750196-1892, 46750256-1893, 46750290-1894, 46750564-1895, 46750404-1896, 46750341-1897, 46750660-1898, 46750460-1899, 46750844-1900, 46751489-1901, 46751018-1902, 46751413-1903, 46751213-1904, 46751135-1905, 46751247-1906, 46751358-1907, 46751441-1908, 46751620-1909, 46751516-1910, 46751565-1911, 46751597-1912, 46751656-1913, 46751685-1914, 46751720-1915, 46751790-1916, 46751874-1917, 46752117-1918, 46751916-1919, 46752013-1920, 46751970-1921, 46752074-1922, 46752166-1923, 46752222-1924, 46752277-1925, 46752336-1926, 46752530-1927, 46752396-1928, 46752436-1929, 46752475-1930, 46752497-1931, 46752562-1932, 46752595-1933, 46752655-1934, 46752619-1935, 46753052-1936, 46752690-1937, 46752832-1938, 46752766-1939, 46752737-1940, 46752879-1941, 46752955-1942, 46753216-1943, 46753439-1944, 46754144-1945, 46753658-1946, 46753875-1947, 46754371-1948, 46757756-1949, 46755002-1950, 46754004-1951, 46756310-1952, 46754784-1953, 46755364-1954, 46754598-1955, 46755824-1956, 46755216-1957, 46755576-1958, 46755664-1959, 46756031-1960, 46756263-1961, 46756186-1962, 46756464-1963, 46756421-1964, 46756369-1965, 46756547-1966, 46756605-1967, 46756828-1968, 46756681-1969, 46756725-1970, 46756763-1971, 46756794-1972, 46756858-1973, 46756913-1974, 46756888-1975, 46757301-1976, 46756953-1977, 46756977-1978, 46757014-1979, 46757051-1980, 46757130-1981, 46757090-1982, 46757178-1983, 46758155-1984, 46757641-1985, 46757460-1986, 46758789-1987, 46758676-1988, 46757876-1989, 46758090-1990, 46766598-1991, 46758284-1992, 46758391-1993, 46758520-1994, 46759133-1995, 58209819-2046, 58209839-2047, 58209861-2048, 58209889-2049, 58209916-2050, 58209935-2051, 58210531-2052, 58210610-2053, 58210654-2054, 58210709-2055, 58210754-2056, 58210836-2057, 58210887-2058, 58210924-2059, 58210955-2060, 58210996-2061, 58211042-2062, 58211071-2063, 58211099-2064, 58211121-2065, 58211157-2066, 58211177-2067, 58211212-2068, 58211248-2069, 58211280-2070, 58211317-2071, 58211337-2072, 58211368-2073, 58211401-2074, 58211429-2075, 58211448-2076, 58211477-2077, 58211490-2078, 58211522-2079, 58211553-2080, 58211594-2081, 58211603-2082, 58211636-2083, 58211656-2084, 58211692-2085, 58211737-2086, 58211787-2087, 58211816-2088, 58211845-2089, 58211877-2090, 58211908-2091, 58211995-2092, 58212028-2093, 58212043-2094, 58212072-2095, 58212091-2096, 58212128-2097, 58212160-2098, 58212188-2099, 58212215-2100, 58212237-2101, 58212250-2102, 58212276-2103, 58212287-2104, 58212308-2105, 58212331-2106, 58212357-2107, 58212369-2108, 58212391-2109, 58212406-2110, 58212440-2111, 58212455-2112, 58212484-2113, 58212496-2114, 58212528-2115, 58212550-2116, 58212569-2117, 58212595-2118, 58212635-2119 to 58212635-2120, 58212651-2121, 58212682-2122, 58212695-2123, 58212728-2124, 58212756-2125, 58212767-2126, 58212778-2127, 58212805-2128, 58212839-2129, 58212852-2130, 58212875-2131, 58212914-2132, 58212937-2133, 58212968-2134, 58212996-2135, 58213017-2136, 58213043-2137, 58213075-2138, 58213087-2139, 58213114-2140, 58213135-2141, 58213154-2142, 58213173-2143, 58213189-2144, 58213208-2145, 58213251-2146, 58213349-2147, 58213415-2148, 58213437-2149, 58213459-2150, 58213469-2151, 58213483-2152, 58213504-2153, 58213521-2154, 58213539-2155, 58213604-2157, 58213629-2158, 58213658-2159, 58213671-2160, 58213804-2165, 58213933-2170, 58214024-2175, 58214154-2180, 58214242-2185, 58214354-2190, 58214466-2195, 58214555-2200, 58214573-2201, 58214682-2205, 58214694-2206, 58214768-2210, 58214791-2211, 58214874-2215, 58214888-2216, 58214937-2218, 58214949-2219, 58214962-2220, 58214978-2221, 58214995-2222, 58215032-2223, 58215062-2224, 58215084-2225, 58215096-2226, 58215114-2227, 58215134-2228, 58215162-2229, 58215170-2230, 58215199-2231, 58215210-2232, 58215231-2233, 58215240-2234, 58215279-2235, 58215291-2236, 58215314-2237, 58215332-2238, 58215341-2239, 58215357-2240, 58215398-2241, 58215414-2242, 58215427-2243, 58215450-2244, 58215472-2245, 58215479-2246, 58215517-2247, 58215529-2248, 58215542-2249, 58215562-2250, 58215581-2251, 58215610-2252, 58215628-2253, 58215645-2254, 58215666-2255, 58215693-2256, 58215712-2257, 58215725-2258, 58215739-2259, 58215759-2260, 58215771-2261, 58215799-2262, 58215841-2263, 58215853-2264, 58215869-2265, 58215880-2266, 58215899-2267, 58215922-2268, 58215963-2269, 58215979-2270, 58215996-2271, 58216016-2272, 58216035-2273, 58216057-2274, 58216095-2275, 58216109-2276, 58216126-2277, 58216152-2278, 58216175-2279, 58216198-2280, 58216252-2281, 58216389-2282, 58216671-2283, 58216798-2284, 58216830-2285, 58216860-2286, 58216885-2287, 58216916-2288, 58216929-2289, 58216946-2290, 58216969-2291, 58216989-2292, 58217020-2293, 58217032-2294, 58217060-2295, 58217079-2296, 58217099-2297, 58217130-2298, 58217161-2299, 58217185-2300, 58217198-2301, 58217223-2302, 58217239-2303, 58217271-2304, 58217282-2305, 58217310-2306, 58217323-2307, 58217342-2308, 58217358-2309, 58217393-2310, 58217404-2311, 58217424-2312, 58217447-2313, 58217460-2314, 58217477-2315, 58217506-2316, 58217523-2317, 58217541-2318, 58217561-2319, 58217576-2320, 58217587-2321, 58217650-2322, 58217660-2323, 58217670-2324, 58217679-2325, 58217695-2326, 58217720-2327, 58217788-2328, 58217803-2329, 58217821-2330, 58217837-2331, 58217853-2332, 58217875-2333, 58217893-2334, 58217907-2335, 58217924-2336, 58217937-2337, 58217956-2338, 58218002-2339, 58218025-2340, 58218047-2341, 58218070-2342, 58218083-2343, 58218102-2344, 58218110-2345, 58218131-2346, 58218164-2347, 58218190-2348, 58218203-2349, 58218219-2350, 58218235-2351, 58218253-2352, 58218284-2353, 58218294-2354, 58218315-2355, 58218324-2356, 58218384-2357, 58218401-2358, 58218431-2359, 58218444-2360, 58218467-2361, 58218489-2362, 58218510-2363, 58218528-2364, 58218548-2365, 58218567-2366, 58218592-2367, 58218605-2368, 58218628-2369, 58218645-2370, 58218672-2371, 58218684-2372, 58218700-2373, 58218734-2374, 58218756-2375, 58218769-2376, 58218788-2377, 58218812-2378, 58218823-2379, 58218849-2380, 58218869-2381, 58218891-2382, 58218911-2383, 58218931-2384, 58218951-2385, 58218974-2386, 58219000-2387, 58219019-2388, 58219042-2389, 58219065-2390, 58219083-2391, 58219102-2392, 58219125-2393, 58219145-2394, 58219159-2395, 58219181-2396, 58219205-2397, 58219231-2398, 58219264-2399, 58219312-2400, 58219344-2401, 58219424-2402, 58219453-2403, 58219483-2404, 58219511-2405, 58219528-2406, 58219546-2407, 58219569-2408, 58219604-2409, 58219631-2410, 58219649-2411, 58219684-2412, 58219723-2413, 58219768-2414, 58219803-2415, 58219851-2416, 58219896-2417, 58219926-2418, 58219956-2419, 58220130-2420, 58220115-2421, 58220117-2422, 58220131-2423, 58220144-2424, 58220191-2425, 58220290-2426, 58220312-2427, 58220418-2428, 58220443-2429, 58220542-2430, 58220748-2431, 58220767-2432, 58220852-2433, 58220872-2434, 58220887-2435, 58220912-2436, 58220924-2437, 58220942-2438, 58220961-2439, 58220980-2440, 58221004-2441, 58221015-2442, 58221029-2443, 58221049-2444, 58221065-2445, 58221087-2446, 58221141-2447, 58221161-2448, 58221185-2449, 58221263-2450, 58221263-2453, 58221254-2451, 58221258-2452, 58221317-2454, 58221351-2455, 58221388-2456, 58221413-2457, 58221434-2458, 58221448-2459, 58221472-2460, 58221524-2461 to 58221524-2462, 58221566-2463, 58221594-2464, 58221624-2465, 58221637-2466, 58221951-2475, 58221971-2476, 58222064-2480, 58222072-2481, 58222343-2484, 58222374-2485, 58222389-2486, 58222454-2488, 58222507-2489, 58222519-2490, 58222571-2491, 58222592-2492, 58222615-2493, 58222640-2494, 58222656-2495, 63485515-2546, 63485530-2547, 63485593-2548, 63485634-2549, 63485649-2550, 63485705-2551, 63485741-2552, 63485757-2553, 63485818-2554, 63485844-2555, 63485855-2556, 63485919-2557, 63485956-2558, 63485964-2559, 63486018-2560, 63486062-2561, 63486080-2562, 63486137-2563, 63486180-2564, 63486199-2565, 63486286-2566, 63486306-2567, 63486339-2568, 63486445-2569, 63486459-2570, 63486471-2571, 63486561-2572, 63486572-2573, 63486590-2574, 63486601-2575, 63486606-2576, 63486617-2577, 63486657-2578, 63486687-2579, 63486698-2580, 63486713-2581, 63486717-2582, 63486725-2583, 63486761-2584, 63486792-2585, 63486799-2586, 63486811-2587, 63486820-2588, 63486852-2589, 63486870-2590, 63486897-2591, 63486914-2592, 63486931-2593, 63486937-2594, 63486951-2595, 63486963-2596, 63486995-2597, 63487031-2598, 63487042-2599, 63487054-2600, 63487073-2601, 63487078-2602, 63487105-2603, 63487140-2604, 63487158-2605, 63487166-2606, 63487177-2607, 63487193-2608, 63487204-2609, 63487238-2610, 63487255-2611, 63487273-2612, 63487285-2613, 63487299-2614, 63487740-2638, 63487745-2639, 63487795-2640, 63487818-2641, 63487837-2642, 63487877-2643, 63487896-2644, 63487917-2645, 63487940-2646, 63487947-2647, 63487963-2648, 63487983-2649, 63487995-2650, 63488025-2651, 63488054-2652, 63488068-2653, 63488088-2654, 63488097-2655, 63488111-2656, 63488141-2657, 63488169-2658, 63488191-2659, 63488196-2660, 63488209-2661, 63488230-2662, 63488260-2663, 63488274-2664, 63488288-2665, 63488314-2666, 63488324-2667, 63488333-2668, 63488372-2669, 63488385-2670, 63488396-2671, 63488431-2672, 63488440-2673, 63488449-2674, 63488490-2675, 63488511-2676, 63488531-2677, 63488546-2678, 63488773-2692, 63488789-2693, 63488840-2694, 63488853-2695</v>
          </cell>
        </row>
        <row r="626">
          <cell r="E626"/>
          <cell r="F626">
            <v>217</v>
          </cell>
          <cell r="G626">
            <v>5.2</v>
          </cell>
          <cell r="H626">
            <v>1128.4000000000001</v>
          </cell>
          <cell r="I626" t="str">
            <v>DATES</v>
          </cell>
          <cell r="J626" t="str">
            <v>Deri</v>
          </cell>
          <cell r="K626"/>
          <cell r="L626"/>
          <cell r="M626" t="str">
            <v>Deri Dates</v>
          </cell>
          <cell r="N626" t="str">
            <v>CFPL</v>
          </cell>
          <cell r="O626" t="str">
            <v>Savla</v>
          </cell>
          <cell r="P626" t="str">
            <v>HADIKLAIM DATE GROWERS COOPERATIVE LTD.</v>
          </cell>
          <cell r="Q626"/>
          <cell r="R626">
            <v>0</v>
          </cell>
          <cell r="S626">
            <v>54</v>
          </cell>
          <cell r="T626" t="str">
            <v>31-60 Days</v>
          </cell>
          <cell r="U626">
            <v>217</v>
          </cell>
          <cell r="V626" t="str">
            <v>58135541-1996, 58135578-1997, 58135620-1998, 58135658-1999, 58135703-2000, 58135724-2001, 58135765-2002, 58135819-2003, 58135855-2004, 58135893-2005, 58135938-2006, 58135989-2007, 58136027-2008, 58136081-2009, 58136137-2010, 58136199-2011, 58136226-2012, 58136258-2013, 58136282-2014, 58136331-2015, 58136418-2016, 58136498-2017, 58136557-2018, 58136598-2019, 58136651-2020, 58136697-2021, 58136737-2022, 58136760-2023, 58136789-2024, 58136814-2025, 58136842-2026, 58136892-2027, 58136932-2028, 58136963-2029, 58136991-2030, 58137035-2031, 58137051-2032, 58137072-2033, 58137096-2034, 58137114-2035, 58137147-2036, 58137179-2037, 58137210-2038, 58137246-2039, 58137269-2040, 58137300-2041, 58137329-2042, 58137355-2043, 58137382-2044, 58137431-2045, 61977970-2496, 61978004-2497, 61977985-2498, 61977989-2499, 61978002-2500, 61978017-2501, 61978094-2502, 61978104-2503, 61978123-2504, 61978140-2505, 61978167-2506, 61978213-2507, 61978243-2508, 61978281-2509, 61978286-2510, 61978304-2511, 61978323-2512, 61978338-2513, 61978352-2514, 61978389-2515, 61978404-2516, 61978425-2517, 61978430-2518, 61978438-2519, 61978444-2520, 61978485-2521, 61978509-2522, 61978542-2523, 61978550-2524, 61978580-2525, 61978581-2526 to 61978581-2527, 61978604-2528, 61978659-2529, 61978680-2530, 61978666-2531, 61978694-2532, 61978707-2533, 61978716-2534, 61978756-2535, 61978763-2536, 61978780-2537, 61978792-2538, 61978799-2539, 61978809-2540, 61978875-2541 to 61978875-2542, 61978888-2543, 61978895-2544, 61978908-2545, 63487310-2615, 63487353-2616, 63487365-2617, 63487376-2618, 63487393-2619, 63487407-2620, 63488558-2679, 63488578-2680, 63488621-2682, 63488643-2683, 63488632-2684, 63488660-2685, 63488735-2686, 63488680-2687, 63488668-2688, 63488748-2689, 63488752-2690, 63488769-2691, 64124490-2696, 64127604-2697, 64127640-2698, 64127560-2699, 64125288-2700, 64127430-2701, 64127472-2702, 64127496-2703, 64127589-2704, 64127530-2705, 64126171-2706, 64126199-2707, 64126216-2708, 64127238-2709, 64127238-2777, 64127256-2710, 64127276-2711, 64125216-2712, 64125250-2713, 64125676-2714, 64126254-2715, 64126276-2716, 64126284-2717, 64126313-2718, 64126325-2719, 64126332-2720, 64127642-2721, 64127653-2722, 64127680-2723, 64127713-2724, 64127717-2725, 64127756-2726, 64127764-2727, 64124571-2728, 64124716-2729, 64124772-2730, 64125080-2731, 64125492-2732, 64125616-2733, 64125641-2734, 64125349-2735, 64125589-2736, 64125158-2737, 64124812-2738, 64124875-2739, 64124926-2740, 64125170-2741, 64127329-2742, 64127354-2743, 64127377-2744, 64127401-2745, 64126520-2746, 64126550-2747, 64126602-2748, 64126672-2749, 64126755-2750, 64126834-2751, 64126930-2752, 64126882-2753, 64126016-2754, 64126015-2755, 64126033-2756, 64126073-2757, 64126087-2758, 64126131-2759, 64126150-2760, 64126159-2761, 64125693-2762, 64125718-2763, 64125751-2764, 64125763-2765, 64125772-2766, 64125792-2767, 64125800-2768, 64125812-2769, 64126958-2770, 64127001-2771, 64127116-2772, 64127127-2773, 64127169-2774, 64127211-2775, 64127199-2776, 64125879-2778, 64125891-2779, 64126017-2780, 64125896-2781, 64125910-2782, 64125914-2783, 64125922-2784, 64125991-2785, 64126394-2786, 64126360-2787, 64126397-2788, 64126449-2789, 64126473-2790, 64126486-2791, 64126509-2792, 64126529-2793, 64126236-2794</v>
          </cell>
        </row>
        <row r="627">
          <cell r="E627"/>
          <cell r="F627">
            <v>17</v>
          </cell>
          <cell r="G627">
            <v>5.6</v>
          </cell>
          <cell r="H627">
            <v>95.2</v>
          </cell>
          <cell r="I627" t="str">
            <v>DATES</v>
          </cell>
          <cell r="J627" t="str">
            <v>Deri</v>
          </cell>
          <cell r="K627"/>
          <cell r="L627"/>
          <cell r="M627" t="str">
            <v>Deri Dates</v>
          </cell>
          <cell r="N627" t="str">
            <v>CFPL</v>
          </cell>
          <cell r="O627" t="str">
            <v>Savla</v>
          </cell>
          <cell r="P627" t="str">
            <v>HADIKLAIM DATE GROWERS COOPERATIVE LTD.</v>
          </cell>
          <cell r="Q627"/>
          <cell r="R627">
            <v>0</v>
          </cell>
          <cell r="S627">
            <v>54</v>
          </cell>
          <cell r="T627" t="str">
            <v>31-60 Days</v>
          </cell>
          <cell r="U627">
            <v>17</v>
          </cell>
          <cell r="V627" t="str">
            <v>63487420-2621, 63487461-2622, 63487475-2623, 63487495-2624, 63487506-2625, 63487517-2626, 63487532-2627, 63487577-2628, 63487594-2629, 63487604-2630, 63487616-2631, 63487629-2632, 63487639-2633, 63487680-2634, 63487701-2635, 63487712-2636, 63487721-2637</v>
          </cell>
        </row>
        <row r="628">
          <cell r="E628"/>
          <cell r="F628">
            <v>1</v>
          </cell>
          <cell r="G628">
            <v>1.8</v>
          </cell>
          <cell r="H628">
            <v>1.8</v>
          </cell>
          <cell r="I628"/>
          <cell r="J628"/>
          <cell r="K628"/>
          <cell r="L628"/>
          <cell r="M628"/>
          <cell r="N628" t="str">
            <v>CFPL</v>
          </cell>
          <cell r="O628" t="str">
            <v>Savla</v>
          </cell>
          <cell r="P628" t="str">
            <v>HADIKLAIM DATE GROWERS COOPERATIVE LTD.</v>
          </cell>
          <cell r="Q628"/>
          <cell r="R628">
            <v>0</v>
          </cell>
          <cell r="S628">
            <v>54</v>
          </cell>
          <cell r="T628" t="str">
            <v>31-60 Days</v>
          </cell>
          <cell r="U628">
            <v>1</v>
          </cell>
          <cell r="V628" t="str">
            <v>45240912-4</v>
          </cell>
        </row>
        <row r="629">
          <cell r="E629"/>
          <cell r="F629">
            <v>2</v>
          </cell>
          <cell r="G629">
            <v>4.8</v>
          </cell>
          <cell r="H629">
            <v>9.6</v>
          </cell>
          <cell r="I629"/>
          <cell r="J629"/>
          <cell r="K629"/>
          <cell r="L629"/>
          <cell r="M629"/>
          <cell r="N629" t="str">
            <v>CFPL</v>
          </cell>
          <cell r="O629" t="str">
            <v>Savla</v>
          </cell>
          <cell r="P629" t="str">
            <v>HADIKLAIM DATE GROWERS COOPERATIVE LTD.</v>
          </cell>
          <cell r="Q629"/>
          <cell r="R629">
            <v>0</v>
          </cell>
          <cell r="S629">
            <v>54</v>
          </cell>
          <cell r="T629" t="str">
            <v>31-60 Days</v>
          </cell>
          <cell r="U629">
            <v>2</v>
          </cell>
          <cell r="V629" t="str">
            <v>45170936-1, 45171004-2</v>
          </cell>
        </row>
        <row r="630">
          <cell r="E630"/>
          <cell r="F630">
            <v>1</v>
          </cell>
          <cell r="G630">
            <v>4.9000000000000004</v>
          </cell>
          <cell r="H630">
            <v>4.9000000000000004</v>
          </cell>
          <cell r="I630"/>
          <cell r="J630"/>
          <cell r="K630"/>
          <cell r="L630"/>
          <cell r="M630"/>
          <cell r="N630" t="str">
            <v>CFPL</v>
          </cell>
          <cell r="O630" t="str">
            <v>Savla</v>
          </cell>
          <cell r="P630" t="str">
            <v>HADIKLAIM DATE GROWERS COOPERATIVE LTD.</v>
          </cell>
          <cell r="Q630"/>
          <cell r="R630">
            <v>0</v>
          </cell>
          <cell r="S630">
            <v>54</v>
          </cell>
          <cell r="T630" t="str">
            <v>31-60 Days</v>
          </cell>
          <cell r="U630">
            <v>1</v>
          </cell>
          <cell r="V630" t="str">
            <v>45278441-5</v>
          </cell>
        </row>
        <row r="631">
          <cell r="E631"/>
          <cell r="F631">
            <v>1001</v>
          </cell>
          <cell r="G631">
            <v>5</v>
          </cell>
          <cell r="H631">
            <v>5005</v>
          </cell>
          <cell r="I631"/>
          <cell r="J631"/>
          <cell r="K631"/>
          <cell r="L631"/>
          <cell r="M631"/>
          <cell r="N631" t="str">
            <v>CFPL</v>
          </cell>
          <cell r="O631" t="str">
            <v>Savla</v>
          </cell>
          <cell r="P631" t="str">
            <v>HADIKLAIM DATE GROWERS COOPERATIVE LTD.</v>
          </cell>
          <cell r="Q631"/>
          <cell r="R631">
            <v>0</v>
          </cell>
          <cell r="S631">
            <v>54</v>
          </cell>
          <cell r="T631" t="str">
            <v>31-60 Days</v>
          </cell>
          <cell r="U631">
            <v>1001</v>
          </cell>
          <cell r="V631" t="str">
            <v>53990807-205, 53990600-206, 53990645-207, 53990682-208, 53990848-209, 53990871-210, 53991219-211, 53991386-212, 53991588-213, 53991602-214, 53991613-215, 53991622-216, 53991633-217, 53991641-218, 53991739-219, 53991742-220, 53991751-221, 53991756-222, 53991776-223, 53991790-224, 53991874-225, 53991888-226, 53991895-227, 53991904-228, 53991915-229, 53991928-230, 53992056-231, 53992057-232, 53992055-233, 53992059-234, 53992070-235, 53992085-236, 53992197-237, 53992216-238, 53992231-239, 53992244-240, 53992268-241, 53992276-242, 53992345-243, 53992349-244, 53992383-245, 53992396-246, 53992413-247, 53992428-248, 53992498-249, 53992510-250, 53992528-251, 53992540-252, 53992555-253, 53992565-254, 53992660-255, 53992675-256, 53992682-257, 53992701-258, 53992713-259, 53992727-260, 53992801-261, 53992820-262, 53992833-263, 53992849-264, 53992851-265, 53992863-266, 53992948-267, 53992971-268, 53992988-269, 53993033-270 to 53993033-271, 53993032-272, 53993103-273, 53993118-274, 53993180-275, 53993193-276, 53993209-277, 53993265-278, 53993281-279, 53993324-280, 53993351-281, 53993365-282, 53993425-283, 53993443-284, 53993508-285, 53993531-286, 53993548-287, 53993592-288, 53993617-289, 53993675-290, 53993688-291, 53993740-292, 53993757-293, 53993869-294 to 53993869-295, 53993906-296, 53993933-297, 53994031-298, 53994061-299 to 53994061-300, 53994077-301, 53994192-302, 53994228-303, 53994244-304, 53994331-305, 53994338-306, 53994390-307, 53994429-308, 53994491-309, 53994579-310 to 53994579-311, 53994593-312, 53994600-313, 53994612-314, 53994631-315, 53994716-316, 53994728-317, 53994737-318, 53994753-319, 53994760-320, 53994780-321, 53994884-322, 53994903-323, 53994906-324, 53994919-325, 53994948-326, 53994961-327, 53995169-328, 53995246-329, 53995265-330, 53995284-331, 53995305-332, 53995349-333 to 53995349-334, 53995383-335, 53995415-336, 53995435-337, 53995449-338, 53995505-339, 53995521-340, 53995553-341, 53995581-342, 53995601-343, 53995631-344, 53995690-345 to 53995690-346, 53995710-347, 53995726-348, 53995745-349, 53995782-350, 53995845-351, 53995862-352, 53995882-353, 53995903-354, 53995911-355, 53995928-356, 53996003-357, 53996019-358, 53996029-359, 53996047-360, 53996071-361, 53996081-362, 53996139-363, 53996165-364, 53996188-365, 53996216-366, 53996217-367, 53996236-368, 53996280-369, 53996303-370, 53996330-371, 53996367-372, 53996382-373, 53996405-374, 53996430-375, 53996445-376, 53996473-377, 53996529-378, 53996540-379, 53996555-380, 53996581-381, 53996594-382, 53996622-383, 53996684-384, 53996704-385, 53996723-386, 53996748-387, 53996757-388, 53996776-389, 53996825-390, 53996856-391, 53996877-392, 53996910-393, 53996932-394, 53996951-395, 53996990-396, 53997012-397, 53997035-398, 53997062-399, 53997086-400, 53997105-401, 53997131-402, 53997166-403, 53997194-404, 53997233-405, 53997256-406, 53997279-407, 53997358-408, 53997357-409, 53997370-410, 53997391-411, 53997418-412, 53997455-413, 53997524-414, 53997536-415, 53997553-416, 53997568-417, 53997588-418, 53997602-419, 53997665-420, 53997677-421, 53997702-422, 53997718-423, 53997727-424, 53997747-425, 53997843-426, 53997853-427, 53997890-428, 53997910-429, 53997968-430 to 53997968-431, 53997990-432, 53998017-433, 53998042-434, 53998057-435, 53998128-436, 53998153-437, 53998174-438, 53998205-439, 53998209-440, 53998236-441, 53998286-442, 53998312-443, 53998331-444, 53998356-445, 53998381-446, 53998396-447, 53998444-448, 53998480-449, 53998498-450, 53998528-451, 53998580-452, 53998600-453, 53998623-454, 53998645-455, 53998667-456, 53998685-457, 53998743-458, 53998769-459, 53998801-460, 53998834-461, 53998861-462, 53998878-463, 53998904-464, 53998931-465, 53998995-466, 53999005-467, 53999035-468, 53999063-469, 53999084-470, 53999121-471, 53999159-472, 53999185-473, 53999238-474, 53999257-475, 53999314-476, 53999359-477, 53999378-478, 53999434-479, 53999471-480, 53999522-481, 53999568-482, 53999607-483, 53999638-484, 53999683-485, 53999707-486, 53999724-487, 53999738-488, 53999756-489, 53999788-490, 53999872-491 to 53999872-492, 53999876-493, 53999895-494, 53999913-495, 53999937-496, 54000046-497, 54000049-498, 54000081-499, 54000100-500, 54000120-501, 54000142-502, 54000203-503, 54000268-504, 54000269-505, 54000283-506, 54000313-507, 54000326-508, 54000345-509, 54000422-510, 54000434-511, 54000450-512, 54000461-513, 54000472-514, 54000483-515, 54000565-516, 54000578-517, 54000621-518, 54000622-519, 54000638-520, 54000666-521, 54000707-522, 54000723-523, 54000763-524, 54000787-525, 54000802-526, 54000817-527, 54000862-528, 54000878-529, 54000922-530, 54000974-531 to 54000974-532, 54000990-533, 54001026-534, 54001041-535, 54001084-536, 54001180-537, 54001201-538, 54001229-539, 54001247-540, 54001272-541, 54001283-542, 54001323-543, 54001348-544, 54001379-545, 54001400-546, 54001420-547, 54001436-548, 54001502-549, 54001511-550, 54001525-551, 54001557-552, 54001564-553, 54001591-554, 54001645-555, 54001676-556, 54001841-557, 54001878-558, 54001903-559, 54001925-560, 54001960-561, 54002092-562, 54002241-563, 54002343-564, 54002352-565, 54002555-566, 54002422-567, 54002449-568, 54002611-569, 54002643-570, 54002677-571, 54002739-572, 54002776-573, 54002833-574, 54002848-575, 54002872-576, 54002921-577, 54002955-578, 54003002-579, 54003035-580, 54003059-581, 54003080-582, 54003106-583, 54003144-584, 54003160-585, 54003200-586, 54003225-587, 54003281-588, 54003307-589, 54003358-590, 54003406-591, 54003428-592, 54003447-593, 54003469-594, 54003491-595, 54003522-596, 54003557-597, 54003576-598, 54003597-599, 54003626-600, 54003647-601, 54003692-602, 54003704-603, 54003800-604 to 54003800-605, 54003807-606, 54003818-607, 54003838-608, 54003857-609, 54003959-610, 54003997-611, 54004002-612, 54004036-613 to 54004036-614, 54004050-615, 54004103-616, 54004152-617, 54004162-618, 54004183-619, 54004203-620, 54004232-621, 54004259-622, 54004312-623, 54004341-624, 54004364-625, 54004381-626, 54004392-627, 54004413-628, 54004466-629, 54004481-630, 54004502-631, 54004560-632 to 54004560-633, 54004563-634, 54004616-635, 54004628-636, 54004640-637, 54004700-638, 54004719-639, 54004724-640, 54004776-641, 54004814-642, 54004837-643, 54004871-644, 54004911-645, 54004918-646, 54004968-647, 54004980-648, 54005024-649, 54005052-650, 54005100-651, 54005144-652, 54005188-653, 54005225-654, 54005262-655, 54005298-656, 54005344-657, 54005368-658, 54005395-659, 54005422-660, 54005439-661, 54005447-662, 54005478-663, 54005518-664, 54005532-665, 54005581-666, 54005600-667, 54005620-668, 54005638-669, 54005684-670, 54005704-671, 54005721-672, 54005741-673, 54005780-674, 54005815-675, 54005835-676, 54005855-677, 54005871-678, 54005889-679, 54005923-680, 54005959-681, 54005971-682, 54005998-683, 54006027-684, 54006057-685, 54006084-686, 54006114-687, 54006142-688, 54006195-689, 54006194-690, 54006203-691, 54006263-692, 54006278-693, 54006298-694, 54006347-695, 54006368-696, 54006375-697, 54006411-698, 54006413-699, 54006437-700, 54006499-701, 54006512-702, 54006526-703, 54006580-704, 54006589-705, 54006628-706, 54006651-707, 54006672-708, 54006696-709, 54006736-710, 54006756-711, 54006773-712, 54006830-713, 54006845-714, 54006886-715, 54006913-716, 54006940-717, 54006949-718, 54006982-719, 54007041-720, 54007081-721, 54007114-722, 54007152-723, 54007169-724, 54007208-725, 54007228-726, 54007245-727, 54007272-728, 54007295-729, 54007310-730, 54007372-731, 54007403-732, 54007436-733, 54007475-734, 54007512-735, 54007545-736, 54007561-737, 54007588-738, 54007598-739, 54007622-740, 54007666-741, 54007704-742, 54007739-743, 54007741-744, 54007752-745, 54007795-746, 54007805-747, 54007867-748, 54007907-749, 54007942-750, 54007954-751, 54008007-752 to 54008007-753, 54008016-754, 54008076-755, 54008112-756, 54008156-757, 54008181-758, 54008203-759, 54008240-760, 54008263-761, 54008275-762, 54008297-763, 54008323-764, 54008348-765, 54008384-766, 54008414-767, 54008431-768, 54008442-769, 54008464-770, 54008501-771, 54008519-772, 54008561-773, 54008579-774, 54008581-775, 54008599-776, 54008655-777, 54008661-778, 54008727-779, 54008735-780, 54008756-781, 54008762-782, 54008797-783, 54008817-784, 54008883-785, 54008890-786, 54008902-787, 54008912-788, 54008952-789, 54008970-790, 54009026-791, 54009040-792, 54009054-793, 54009065-794, 54009101-795, 54009113-796, 54009189-797, 54009201-798, 54009220-799, 54009233-800, 54009249-801, 54009259-802, 54009345-803, 54009359-804, 54009361-805, 54009368-806, 54009380-807, 54009406-808, 54009479-809, 54009501-810, 54009518-811, 54009530-812, 54009541-813, 54009563-814, 54009633-815, 54009651-816, 54009654-817, 54009665-818, 54009690-819, 54009708-820, 54009793-821, 54009808-822, 54009833-823, 54009841-824, 54009864-825, 54009926-826, 54009937-827, 54009953-828, 54009975-829, 54009983-830, 54010018-831, 54010085-832, 54010096-833, 54010117-834, 54010138-835, 54010142-836, 54010157-837, 54010243-838, 54010259-839, 54010272-840, 54010285-841, 54010298-842, 54010314-843, 54010388-844, 54010403-845, 54010415-846, 54010429-847, 54010443-848, 54010460-849, 54010547-850, 54010565-851, 54010577-852, 54010596-853, 54010616-854, 54010634-855, 54010713-856, 54010736-857, 54010755-858, 54010777-859, 54010794-860, 54010820-861, 54010878-862, 54010894-863, 54010924-864, 54010943-865, 54010961-866, 54010979-867, 54011024-868, 54011052-869, 54011070-870, 54011094-871, 54011116-872, 54011135-873, 54011186-874, 54011202-875, 54011214-876, 54011235-877, 54011261-878, 54011281-879, 54011322-880, 54011353-881, 54011372-882, 54011394-883, 54011410-884, 54011424-885, 54011483-886, 54011509-887, 54011521-888, 54011535-889, 54011547-890, 54011563-891, 54011643-892, 54011654-893, 54011671-894, 54011687-895, 54011718-896, 54011734-897, 54011799-898, 54011814-899, 54011835-900, 54011858-901, 54011888-902, 54011911-903, 54011944-904, 54011967-905, 54011993-906, 54012013-907, 54012037-908, 54012061-909, 54012094-910, 54012116-911, 54012138-912, 54012163-913, 54012196-914, 54012233-915, 54012263-916, 54012287-917, 54012313-918, 54012337-919, 54012367-920, 54012387-921, 54012400-922, 54012434-923, 54012453-924, 54012472-925, 54012529-926, 54012541-927, 54012549-928, 54012600-929, 54012618-930, 54012639-931, 54012683-932, 54012703-933, 54012716-934, 54012743-935, 54012754-936, 54012777-937, 54012828-938, 54012847-939, 54012868-940, 54012895-941, 54012926-942, 54012949-943, 54012972-944, 54012995-945, 54013027-946, 54013058-947, 54013073-948, 54013091-949, 54013118-950, 54013148-951, 54013188-952, 54013207-953, 54013228-954, 54013254-955, 54013278-956, 54013300-957, 54013343-958, 54013368-959, 54013385-960, 54013424-961, 54013440-962, 54013472-963, 54013500-964, 54013518-965, 54013547-966, 54013573-967, 54013595-968, 54013613-969, 54013643-970, 54013669-971, 54013696-972, 54013718-973, 54013736-974, 54013752-975, 54013802-976, 54013835-977, 54013849-978, 54013874-979, 54013899-980, 54013917-981, 54013956-982, 54013987-983, 54014026-984, 54014044-985, 54014070-986, 54014093-987, 54014120-988, 54014147-989, 54014183-990, 54014211-991, 54014233-992, 54014267-993, 54014295-994, 54014349-995, 54014385-996, 54014437-997, 54014482-998, 54014526-999, 54014549-1000, 54014571-1001, 54014597-1002, 54014627-1003, 54014648-1004, 54014673-1005, 54014696-1006, 54014726-1007, 54014746-1008, 54014773-1009, 54014794-1010, 54014821-1011, 54014841-1012, 54014877-1013, 54014890-1014, 54014912-1015, 54014937-1016, 54014975-1017, 54014994-1018, 54015033-1019, 54015062-1020, 54015087-1021, 54015106-1022, 54015122-1023, 54015142-1024, 54015190-1025, 54015205-1026, 54015242-1027, 54015258-1028, 54015280-1029, 54015298-1030, 54015348-1031, 54015365-1032, 54015399-1033, 54015417-1034, 54015437-1035, 54015459-1036, 54015514-1037, 54015550-1038, 54015580-1039, 54015607-1040, 54015636-1041, 54015666-1042, 54015683-1043, 54015709-1044, 54015729-1045, 54015765-1046, 54015804-1047, 54015833-1048, 54015863-1049, 54015893-1050, 54015924-1051, 54015961-1052, 54015992-1053, 54016039-1054, 54016079-1055, 54016121-1056, 54016895-1057, 54016928-1058, 54016971-1059, 54017030-1060, 54017061-1061, 54017093-1062, 54017135-1063, 54017172-1064, 54017251-1065, 54017283-1066, 54017317-1067, 54017350-1068, 54017384-1069, 54017427-1070, 54017464-1071, 54017500-1072, 54017539-1073, 54017569-1074, 54017591-1075, 54017615-1076, 54017643-1077, 54017688-1078, 54017720-1079, 54017758-1080, 54017782-1081, 54017799-1082, 54017835-1083, 54017879-1084, 54017910-1085, 54018007-1086, 54018040-1087, 54018073-1088, 54018081-1089, 54018111-1090, 54018194-1091, 54018205-1092, 54018240-1093, 54018267-1094, 54018282-1095, 54018307-1096, 54018355-1097, 54018368-1098, 54018398-1099, 54018411-1100, 54018435-1101, 54018465-1102, 54018513-1103, 54018529-1104, 54018564-1105, 54018602-1106, 54018630-1107, 54018646-1108, 54018671-1109, 54018684-1110, 54018721-1111, 54018756-1112, 54018792-1113, 54018809-1114, 54018835-1115, 54018866-1116, 54018881-1117, 54018919-1118, 54018957-1119, 54018987-1120, 54019016-1121, 54019037-1122, 54019063-1123, 54019082-1124, 54019110-1125, 54019157-1126, 54019162-1127, 54019187-1128, 54019207-1129, 54019235-1130, 54019252-1131, 54019310-1132, 54019334-1133, 54019365-1134, 54019399-1135, 54019404-1136, 54019430-1137, 54019449-1138, 54019475-1139, 54019556-1140, 54019558-1141, 54019573-1142, 54019598-1143, 54019624-1144, 54019643-1145, 54019718-1146, 54019747-1147, 54019769-1148, 54019798-1149, 54019800-1150, 54019824-1151, 54019882-1152, 54019928-1153, 54019973-1154, 54020072-1155, 54020071-1156, 54020093-1157, 54020104-1158, 54020128-1159, 54020166-1160, 54020282-1161, 54020319-1162, 54020356-1163, 54020389-1164, 54020426-1165, 54020465-1166, 54020481-1167, 54020513-1168, 54020552-1169, 54020568-1170, 54020597-1171, 54020633-1172, 54020651-1173, 54020684-1174, 54020714-1175, 54020733-1176, 54020763-1177, 54020789-1178, 54020808-1179, 54020833-1180, 54020913-1181, 54020927-1182, 54020980-1183, 54020991-1184, 54021065-1185, 54021075-1186, 54021125-1187, 54021146-1188, 54021240-1189, 54021250-1190, 54021275-1191, 54021313-1192, 54021375-1193, 54021409-1194, 54021468-1195 to 54021468-1196, 54021529-1197, 54021573-1198, 54021625-1199, 54021642-1200, 54021677-1201, 54021718-1202, 54021763-1203, 54021787-1204, 54021833-1205</v>
          </cell>
        </row>
        <row r="632">
          <cell r="E632"/>
          <cell r="F632">
            <v>199</v>
          </cell>
          <cell r="G632">
            <v>5.2</v>
          </cell>
          <cell r="H632">
            <v>1034.8</v>
          </cell>
          <cell r="I632"/>
          <cell r="J632"/>
          <cell r="K632"/>
          <cell r="L632"/>
          <cell r="M632"/>
          <cell r="N632" t="str">
            <v>CFPL</v>
          </cell>
          <cell r="O632" t="str">
            <v>Savla</v>
          </cell>
          <cell r="P632" t="str">
            <v>HADIKLAIM DATE GROWERS COOPERATIVE LTD.</v>
          </cell>
          <cell r="Q632"/>
          <cell r="R632">
            <v>0</v>
          </cell>
          <cell r="S632">
            <v>54</v>
          </cell>
          <cell r="T632" t="str">
            <v>31-60 Days</v>
          </cell>
          <cell r="U632">
            <v>199</v>
          </cell>
          <cell r="V632" t="str">
            <v>51069969-15, 51069841-17, 51069978-6, 51069824-7, 51069899-8, 51070893-9, 51070916-10, 51070961-11, 51069721-12, 51069756-13, 51069957-14, 51069836-16, 51069854-18, 51069862-19, 51070007-20, 51072918-21, 51072950-22, 51072962-23, 51070600-24, 51070610-25, 51070627-26, 51070445-27, 51070453-28, 51070468-29, 51070475-30, 51070564-31, 51070579-32, 51070590-33, 51070017-34, 51070039-35, 51070098-36, 51070116-37 to 51070116-38, 51070153-39, 51070164-40, 51070180-41, 51070705-42, 51070735-43, 51070751-44, 51070777-45, 51070801-46, 51070834-47, 51070851-48, 51070883-49, 51070254-50, 51070272-51, 51070282-52, 51070300-53, 51070307-54, 51070320-55, 51070423-56, 51070431-57, 51070993-58, 51071003-59, 51071046-60, 51071058-61, 51071072-62, 51071105-63, 51071153-64, 51071171-65, 51071185-66, 51071200-67, 51071224-68, 51071302-69, 51071258-70, 51071315-71, 51071336-72, 51071356-73, 51071637-74, 51071655-75, 51071691-76, 51071739-77, 51071751-78, 51071763-79, 51071814-80, 51071850-81, 51071375-82, 51071408-83, 51071449-84, 51071504-85, 51071550-86, 51071581-87, 51071599-88, 51071623-89, 51071833-90, 51071891-91, 51071917-92, 51071918-93, 51071953-94, 51071994-95, 51072007-96, 51072039-97, 51072322-98, 51072364-99, 51072371-100, 51072400-101, 51072440-102, 51072481-103, 51072511-104, 51072551-105, 51072073-106, 51072088-107, 51072117-108, 51072189-109, 51072204-110, 51072240-111, 51072274-112, 51072310-113, 51072595-114, 51072633-115, 51072673-116, 51072690-117, 51072715-118, 51072731-119, 51072766-120, 51072794-121, 51072836-122, 51072841-123, 51072870-124, 53906132-125, 53906168-126, 53906196-127, 53906218-128, 53903728-129, 53904752-130, 53904784-131, 53904823-132, 53904837-133, 53904856-134, 53904877-135, 53904904-136, 53904935-137, 53904632-138, 53904666-139, 53904682-140, 53904705-141, 53904724-142, 53904191-143, 53904210-144, 53904254-145, 53904510-146, 53904523-147, 53904395-148, 53904469-149, 53904499-150, 53904303-151, 53904340-152, 53904365-153, 53904379-154, 53903900-155, 53903943-156, 53904043-157, 53904086-158, 53904147-159, 53903841-160, 53903860-161, 53903771-162, 53904549-163, 53904558-164, 53904960-165, 53904995-166, 53905021-167, 53905039-168, 53905051-169, 53905079-170, 53905099-171, 53905155-172, 53905177-173, 53905200-174, 53905219-175, 53905249-176, 53905274-177, 53905324-178, 53905343-179, 53905383-180, 53905415-181, 53905474-182, 53905520-183, 53905542-184, 53905561-185, 53905582-186, 53905602-187, 53905645-188, 53905680-189, 53905698-190, 53905718-191, 53905734-192, 53905756-193, 53905800-194, 53905832-195, 53906040-196, 53905844-197, 53905895-198, 53905916-199, 53905948-200, 53905989-201, 53906017-202, 53906062-203, 53906078-204</v>
          </cell>
        </row>
        <row r="633">
          <cell r="E633"/>
          <cell r="F633">
            <v>1</v>
          </cell>
          <cell r="G633">
            <v>5.4</v>
          </cell>
          <cell r="H633">
            <v>5.4</v>
          </cell>
          <cell r="I633"/>
          <cell r="J633"/>
          <cell r="K633"/>
          <cell r="L633"/>
          <cell r="M633"/>
          <cell r="N633" t="str">
            <v>CFPL</v>
          </cell>
          <cell r="O633" t="str">
            <v>Savla</v>
          </cell>
          <cell r="P633" t="str">
            <v>HADIKLAIM DATE GROWERS COOPERATIVE LTD.</v>
          </cell>
          <cell r="Q633"/>
          <cell r="R633">
            <v>0</v>
          </cell>
          <cell r="S633">
            <v>54</v>
          </cell>
          <cell r="T633" t="str">
            <v>31-60 Days</v>
          </cell>
          <cell r="U633">
            <v>1</v>
          </cell>
          <cell r="V633" t="str">
            <v>45208602-3</v>
          </cell>
        </row>
        <row r="634">
          <cell r="E634"/>
          <cell r="F634">
            <v>1</v>
          </cell>
          <cell r="G634">
            <v>9.65</v>
          </cell>
          <cell r="H634">
            <v>9.65</v>
          </cell>
          <cell r="I634" t="str">
            <v>PISTA</v>
          </cell>
          <cell r="J634" t="str">
            <v>Pista - Inshell</v>
          </cell>
          <cell r="K634"/>
          <cell r="L634"/>
          <cell r="M634" t="str">
            <v>California Pista Inshell</v>
          </cell>
          <cell r="N634" t="str">
            <v>CFPL</v>
          </cell>
          <cell r="O634" t="str">
            <v>Savla</v>
          </cell>
          <cell r="P634" t="str">
            <v>PRIMEX INTERNATIONAL</v>
          </cell>
          <cell r="Q634"/>
          <cell r="R634">
            <v>0</v>
          </cell>
          <cell r="S634">
            <v>40</v>
          </cell>
          <cell r="T634" t="str">
            <v>31-60 Days</v>
          </cell>
          <cell r="U634">
            <v>1</v>
          </cell>
          <cell r="V634" t="str">
            <v>68335742-1872</v>
          </cell>
        </row>
        <row r="635">
          <cell r="E635"/>
          <cell r="F635">
            <v>1</v>
          </cell>
          <cell r="G635">
            <v>9.6999999999999993</v>
          </cell>
          <cell r="H635">
            <v>9.6999999999999993</v>
          </cell>
          <cell r="I635" t="str">
            <v>PISTA</v>
          </cell>
          <cell r="J635" t="str">
            <v>Pista - Inshell</v>
          </cell>
          <cell r="K635"/>
          <cell r="L635"/>
          <cell r="M635" t="str">
            <v>California Pista Inshell</v>
          </cell>
          <cell r="N635" t="str">
            <v>CFPL</v>
          </cell>
          <cell r="O635" t="str">
            <v>Savla</v>
          </cell>
          <cell r="P635" t="str">
            <v>PRIMEX INTERNATIONAL</v>
          </cell>
          <cell r="Q635"/>
          <cell r="R635">
            <v>0</v>
          </cell>
          <cell r="S635">
            <v>40</v>
          </cell>
          <cell r="T635" t="str">
            <v>31-60 Days</v>
          </cell>
          <cell r="U635">
            <v>1</v>
          </cell>
          <cell r="V635" t="str">
            <v>68197939-1865</v>
          </cell>
        </row>
        <row r="636">
          <cell r="E636"/>
          <cell r="F636">
            <v>19</v>
          </cell>
          <cell r="G636">
            <v>9.8000000000000007</v>
          </cell>
          <cell r="H636">
            <v>186.2</v>
          </cell>
          <cell r="I636" t="str">
            <v>PISTA</v>
          </cell>
          <cell r="J636" t="str">
            <v>Pista - Inshell</v>
          </cell>
          <cell r="K636"/>
          <cell r="L636"/>
          <cell r="M636" t="str">
            <v>California Pista Inshell</v>
          </cell>
          <cell r="N636" t="str">
            <v>CFPL</v>
          </cell>
          <cell r="O636" t="str">
            <v>Savla</v>
          </cell>
          <cell r="P636" t="str">
            <v>PRIMEX INTERNATIONAL</v>
          </cell>
          <cell r="Q636"/>
          <cell r="R636">
            <v>0</v>
          </cell>
          <cell r="S636">
            <v>40</v>
          </cell>
          <cell r="T636" t="str">
            <v>31-60 Days</v>
          </cell>
          <cell r="U636">
            <v>19</v>
          </cell>
          <cell r="V636" t="str">
            <v>68179859-1864, 68287710-1869, 68605072-1883, 68768661-1888, 68270505-1868, 68354924-1873, 68853870-1891, 68213715-1866, 68321361-1871, 68418811-1876, 68641791-1885, 67972585-1861, 68127601-1862, 68230281-1867, 68655608-1886, 68388276-1875, 68499182-1879, 68626528-1884, 68911433-1893</v>
          </cell>
        </row>
        <row r="637">
          <cell r="E637"/>
          <cell r="F637">
            <v>1</v>
          </cell>
          <cell r="G637">
            <v>9.9</v>
          </cell>
          <cell r="H637">
            <v>9.9</v>
          </cell>
          <cell r="I637" t="str">
            <v>PISTA</v>
          </cell>
          <cell r="J637" t="str">
            <v>Pista - Inshell</v>
          </cell>
          <cell r="K637"/>
          <cell r="L637"/>
          <cell r="M637" t="str">
            <v>California Pista Inshell</v>
          </cell>
          <cell r="N637" t="str">
            <v>CFPL</v>
          </cell>
          <cell r="O637" t="str">
            <v>Savla</v>
          </cell>
          <cell r="P637" t="str">
            <v>PRIMEX INTERNATIONAL</v>
          </cell>
          <cell r="Q637"/>
          <cell r="R637">
            <v>0</v>
          </cell>
          <cell r="S637">
            <v>40</v>
          </cell>
          <cell r="T637" t="str">
            <v>31-60 Days</v>
          </cell>
          <cell r="U637">
            <v>1</v>
          </cell>
          <cell r="V637" t="str">
            <v>68831568-1890</v>
          </cell>
        </row>
        <row r="638">
          <cell r="E638"/>
          <cell r="F638">
            <v>1870</v>
          </cell>
          <cell r="G638">
            <v>10</v>
          </cell>
          <cell r="H638">
            <v>18700</v>
          </cell>
          <cell r="I638" t="str">
            <v>PISTA</v>
          </cell>
          <cell r="J638" t="str">
            <v>Pista - Inshell</v>
          </cell>
          <cell r="K638"/>
          <cell r="L638"/>
          <cell r="M638" t="str">
            <v>California Pista Inshell</v>
          </cell>
          <cell r="N638" t="str">
            <v>CFPL</v>
          </cell>
          <cell r="O638" t="str">
            <v>Savla</v>
          </cell>
          <cell r="P638" t="str">
            <v>PRIMEX INTERNATIONAL</v>
          </cell>
          <cell r="Q638"/>
          <cell r="R638">
            <v>0</v>
          </cell>
          <cell r="S638">
            <v>40</v>
          </cell>
          <cell r="T638" t="str">
            <v>31-60 Days</v>
          </cell>
          <cell r="U638">
            <v>1870</v>
          </cell>
          <cell r="V638" t="str">
            <v>49256071-1 to 49256071-1000, 49256071-1894 to 49256071-1900, 57807623-1200, 57807769-1205, 57807948-1210, 57808130-1215, 57808338-1220, 57808941-1225, 57810292-1230, 57810648-1235, 57810807-1240, 57810892-1245, 57810933-1250, 57811438-1254, 57811914-1259, 57812699-1265, 57813301-1269, 57813973-1274, 57814397-1279, 57814857-1284, 57815212-1289, 57815473-1294, 57815581-1299, 57815661-1304, 57807703-1203, 57807836-1208, 57808092-1213, 57808298-1218, 57808682-1223, 57810162-1228, 57810611-1233, 57810772-1238, 57810856-1243, 57810920-1248, 57812172-1260, 57807678-1202, 57807818-1207, 57808076-1212, 57808246-1217, 57808587-1222, 57809406-1227, 57810519-1232, 57810764-1237, 57810847-1242, 57811111-1247, 57811773-1258, 57812639-1264, 57813194-1268, 57813897-1273, 57814361-1278, 57814691-1283, 57815205-1288, 57815446-1293, 57815561-1298, 57815649-1303, 57815759-1308, 57815878-1313, 57815979-1318, 57816079-1323, 57816192-1328, 57816435-1333, 57807609-1001, 57807737-1204, 57807897-1209, 57808110-1214, 57808315-1219, 57808746-1224, 57810210-1229, 57810635-1234, 57810793-1239, 57810886-1244, 57810928-1249, 57810966-1253, 57811664-1257, 57812365-1262, 57813129-1267, 57813820-1272, 57814319-1277, 57814562-1282, 57815099-1287, 57815420-1292, 57807652-1201, 57807800-1206, 57808016-1211, 57808201-1216, 57808449-1221, 57809174-1226, 57810476-1231, 57810685-1236, 57810833-1241, 57810899-1246, 57810956-1251, 57811532-1255, 57812958-1263, 57813408-1270, 57814086-1275, 57814475-1280, 57815042-1285, 57815217-1290, 57815492-1295, 57815601-1300, 57815688-1305, 57815794-1310, 57815919-1315, 57816017-1320, 57816126-1325, 57816401-1330, 57816490-1335, 57816560-1340, 57816638-1345, 57816721-1350, 57816797-1355, 57816857-1360, 57816956-1365, 57817000-1370, 57817055-1375, 57817095-1378, 57817157-1383, 57817206-1388, 57817287-1393, 57817356-1398, 57817375-1402, 57817444-1407 to 57817444-1408, 57817523-1412, 57817562-1417, 57817958-1422, 57818734-1427, 57818967-1432, 57819176-1437, 57819483-1442, 57819899-1447, 57821552-1455, 57822380-1459, 57822676-1462, 57823057-1467, 57823177-1472, 57823315-1477, 57823457-1482, 57823564-1487, 57823932-1492, 57824095-1497, 57824218-1502, 57810960-1252, 57811600-1256, 57812300-1261, 57813008-1266, 57813701-1271, 57814156-1276, 57814519-1281, 57815085-1286, 57815409-1291, 57815515-1296, 57815610-1301, 57815720-1306 to 57815720-1307, 57815818-1311, 57815937-1316, 57816041-1321, 57816160-1327, 57816411-1331, 57816512-1336, 57816568-1341, 57816652-1346, 57816730-1351, 57816806-1356, 57816874-1361, 57816958-1366, 57817037-1371, 57817074-1376, 57817124-1381, 57817195-1386, 57817219-1390, 57817300-1396, 57817368-1400, 57817433-1406, 57817474-1411, 57817561-1416, 57817848-1421, 57818701-1426, 57818914-1431, 57819116-1436, 57819380-1441, 57819817-1446, 57821200-1454, 57822320-1451, 57822582-1461, 57823020-1466, 57823156-1471, 57823279-1476, 57823434-1481, 57823555-1486, 57823884-1491, 57824065-1496, 57824206-1501, 57824300-1506, 57824350-1511, 57824447-1516, 57824638-1521, 57824728-1526, 57824836-1531, 57824927-1536, 57825241-1541, 57825344-1546, 57825429-1551, 57825967-1557, 57826330-1561, 57826456-1566, 57826641-1571, 57815527-1297, 57815622-1302, 57815842-1312, 57815969-1317, 57816050-1322, 57816161-1326, 57816417-1332, 57816522-1337, 57816577-1342, 57816673-1347, 57816739-1352, 57816812-1357, 57816885-1362, 57816968-1367, 57817053-1372, 57817053-1374, 57817114-1379, 57817164-1384, 57817207-1389, 57817296-1395, 57817364-1399, 57817409-1404, 57817450-1410, 57817539-1414, 57817648-1419, 57818382-1424, 57818797-1429, 57819047-1434, 57819279-1439, 57819661-1444, 57820178-1449, 57821933-1457, 57822486-1460, 57822861-1464, 57823121-1469, 57823234-1474, 57823393-1479, 57823513-1484, 57823611-1489, 57824004-1494, 57824161-1499, 57824238-1504, 57824323-1509, 57824414-1514, 57824611-1519, 57824708-1524, 57824798-1529, 57824890-1534, 57825199-1539, 57825301-1544, 57825401-1549, 57825925-1555, 57826028-1559, 57826412-1564, 57826560-1569, 57826806-1574, 57827005-1579, 57827301-1584, 57827534-1589, 57828024-1594, 57828251-1599, 57828797-1003, 57829054-1012, 57829127-1017, 57829207-1023, 57815766-1309, 57815891-1314, 57816004-1319, 57816113-1324, 57816380-1329, 57816444-1334, 57816539-1339, 57816613-1344, 57816698-1349, 57816769-1354, 57816850-1359, 57816934-1364, 57816978-1369, 57817084-1377, 57817133-1382, 57817202-1387, 57817282-1392, 57817312-1397, 57817376-1403, 57817528-1413, 57817617-1418, 57818018-1423, 57818772-1428, 57819010-1433, 57819212-1438, 57819574-1443, 57820127-1448, 57821802-1456, 57822442-1452, 57822779-1463, 57823090-1468, 57823210-1473, 57823333-1478, 57823495-1483, 57823577-1488, 57823974-1493, 57824113-1498, 57824223-1503, 57824314-1508, 57824410-1513, 57824601-1518, 57824691-1523, 57824754-1528, 57824871-1533, 57825174-1538, 57825285-1543, 57825381-1548, 57825904-1554, 57826007-1553, 57826383-1563, 57826517-1568, 57826745-1573, 57826988-1578, 57827089-1583, 57827511-1588, 57827596-1593, 57828190-1598, 57828776-1008, 57829039-1011, 57829115-1016, 57829191-1021, 57829362-1026, 57829458-1031, 57816536-1338, 57816597-1343, 57816687-1348, 57816761-1353, 57816848-1358, 57816891-1363, 57816969-1368, 57817052-1373, 57817121-1380, 57817169-1385, 57817221-1391, 57817301-1394, 57817366-1401, 57817418-1405, 57817452-1409, 57817541-1415, 57817847-1420, 57818523-1425, 57818850-1430, 57819083-1435, 57819336-1440, 57819740-1445, 57820361-1450, 57822126-1458, 57822521-1453, 57822916-1465, 57823133-1470, 57823255-1475, 57823408-1480, 57823525-1485, 57823836-1490, 57824021-1495, 57824186-1500, 57824250-1505, 57824334-1510, 57824431-1515, 57824624-1520, 57824720-1525, 57824812-1530, 57824910-1535, 57825219-1540, 57825321-1545, 57825419-1550, 57825959-1556, 57826311-1560, 57826429-1565, 57826597-1570, 57826873-1575, 57827035-1580, 57827320-1585, 57827551-1590, 57828056-1595, 57828290-1600, 57828991-1004, 57829064-1013, 57829141-1020, 57829334-1022, 57829396-1028, 57829487-1033, 57829548-1037, 57829720-1040, 57830093-1047, 57830236-1052, 57830516-1059, 57830687-1063, 57824309-1507, 57824397-1512, 57824591-1517, 57824651-1522, 57824740-1527, 57824855-1532, 57824956-1537, 57825269-1542, 57825362-1547, 57825444-1552, 57825987-1558, 57826362-1562, 57826485-1567, 57826676-1572, 57826953-1577, 57827070-1582, 57827483-1587, 57827580-1592, 57828129-1597, 57828765-1007, 57829022-1010, 57829110-1015, 57829177-1018, 57829348-1025, 57829441-1030, 57829510-1035, 57829590-1039, 57829861-1043, 57830156-1049, 57830343-1054, 57830611-1057, 57830726-1061, 57830854-1068, 57830965-1074, 57831087-1079, 57831249-1084, 57831508-1089, 57831720-1094, 57831926-1099, 57832021-1104, 57832166-1110, 57832290-1115, 57832409-1120, 57832473-1125, 57832539-1130, 57832621-1135, 57832688-1140, 57832765-1145, 57832845-1150, 57832971-1155, 57833093-1160, 57833231-1165, 57833341-1170, 57833449-1005, 57833562-1179, 57833659-1184, 57833726-1189, 57833858-1194, 57833943-1199, 57826916-1576, 57827049-1581, 57827356-1586, 57827566-1591, 57828084-1596, 57828742-1002, 57829008-1009, 57829091-1014, 57829155-1019, 57829342-1024, 57829428-1029, 57829499-1034, 57829564-1038, 57829772-1044, 57830130-1048, 57830304-1053, 57830556-1058, 57830701-1062, 57830844-1069, 57830936-1073, 57831057-1078, 57831208-1083, 57831462-1088, 57831664-1093, 57831879-1098, 57831977-1103, 57832125-1108, 57832253-1113, 57832361-1118, 57832451-1123, 57832515-1128, 57832582-1133, 57832658-1138, 57832731-1143, 57832811-1148, 57832894-1153, 57833041-1158, 57833183-1163, 57833304-1168, 57833403-1171, 57833529-1177, 57833623-1182, 57833701-1187, 57833815-1192, 57833914-1197, 57829376-1027, 57829473-1032, 57829529-1036, 57829684-1041, 57830054-1045, 57830208-1051, 57830468-1056, 57830664-1064, 57830753-1066, 57830894-1071, 57831007-1076, 57831145-1081, 57831360-1086, 57831592-1091, 57831830-1096, 57831939-1101, 57832046-1106, 57832188-1111, 57832319-1116, 57832421-1121, 57832485-1126, 57832546-1131, 57832630-1136, 57832708-1141, 57832776-1146, 57832861-1151, 57832993-1156, 57833128-1162, 57833261-1166, 57833354-1173, 57833482-1175, 57833586-1180, 57833673-1186, 57833776-1190, 57833880-1195, 57829519-1006, 57829642-1042, 57829971-1046, 57830181-1050, 57830412-1055, 57830639-1060, 57830735-1065, 57830870-1070, 57830977-1075, 57831113-1080, 57831300-1085, 57831550-1090, 57831752-1095, 57831929-1100, 57832040-1105, 57832128-1109, 57832276-1114, 57832390-1119, 57832468-1124, 57832529-1129, 57832601-1134, 57832680-1139, 57832742-1144, 57832827-1149, 57832909-1154, 57833072-1159, 57833212-1164, 57833321-1169, 57833428-1174, 57833541-1178, 57833642-1183, 57833711-1188, 57833836-1193, 57833935-1198, 57830816-1067, 57830914-1072, 57831033-1077, 57831184-1082, 57831420-1087, 57831624-1092, 57831843-1097, 57831957-1102, 57832099-1107, 57832209-1112, 57832338-1117, 57832441-1122, 57832498-1127, 57832565-1132, 57832640-1137, 57832719-1142, 57832789-1147, 57832879-1152, 57833012-1157, 57833154-1161, 57833280-1167, 57833376-1172, 57833505-1176, 57833606-1181, 57833687-1185, 57833798-1191, 57833893-1196, 64580989-1606, 64581002-1605, 64581011-1663, 64581017-1608, 64581023-1609, 64581029-1604, 64581051-1664, 64581116-1607, 64581147-1662, 64581209-1661, 64581273-1619, 64581273-1621, 64581345-1625, 64581401-1630, 64581428-1635, 64581484-1640, 64581609-1644, 64581728-1649, 64581828-1653, 64581914-1602 to 64581914-1603, 64582066-1741, 64582155-1756, 64582234-1759, 64582295-1749, 64582360-1730, 64582411-1735, 64582469-1764, 64582535-1769, 64582613-1774, 64582705-1778 to 64582705-1780, 64582751-1784, 64582797-1789, 64582855-1794, 64582875-1798, 64582941-1714, 64583001-1718 to 64583001-1719, 64583066-1708, 64583066-1711, 64583120-1699, 64583183-1704, 64583226-1694, 64583286-1683, 64583346-1673, 64583398-1678 to 64583398-1679, 64583464-1668, 64583478-1721, 64583538-1725, 64583593-1728, 67226957-1851, 67228351-1856, 65944583-1802, 65944654-1809, 65944697-1813, 65944716-1818, 64581140-1613, 64581168-1614, 64581227-1618, 64581284-1660, 64581344-1624, 64581369-1628 to 64581369-1629, 64581421-1633, 64581481-1639, 64581629-1641, 64581713-1648, 64581734-1656, 64581841-1654, 64581992-1738, 64582059-1742 to 64582059-1743, 64582145-1753 to 64582145-1754, 64582243-1745, 64582304-1750, 64582366-1734, 64582429-1736, 64582478-1765, 64582541-1770, 64582621-1775, 64582742-1782 to 64582742-1783, 64582796-1787, 64582865-1795, 64582914-1716, 64582937-1715, 64583000-1720, 64583035-1707, 64583069-1712, 64583130-1702, 64583192-1691, 64583233-1695, 64583295-1684, 64583348-1674, 64583365-1677, 64583413-1666 to 64583413-1667, 64583466-1669, 64583466-1672, 64583539-1722, 64583539-1726 to 64583539-1727, 67227912-1855, 67229646-1860, 68550282-1882, 65944593-1805, 65944669-1808, 65944714-1815, 65944714-1817, 64581141-1610, 64581206-1616, 64581293-1623, 64581416-1634, 64581478-1638, 64581595-1658, 64581644-1645, 64581732-1655, 64581838-1652, 64582028-1740, 64582186-1758, 64582274-1747, 64582319-1752, 64582385-1732, 64582451-1762, 64582521-1767, 64582612-1773, 64582757-1785, 64582801-1790, 64582872-1797, 64582934-1713, 64583002-1705, 64583128-1700, 64583178-1689, 64583193-1692 to 64583193-1693, 64583248-1681, 64583303-1686, 64583354-1676, 64583354-1688, 64583465-1670 to 64583465-1671, 64583537-1723, 67227379-1853, 67228942-1858, 68519837-1880, 65944589-1804, 65944659-1810, 65944701-1814, 65944760-1819, 65944786-1824, 65944832-1829, 64581142-1612, 64581205-1617, 64581228-1620, 64581288-1622, 64581358-1627, 64581412-1631, 64581477-1636, 64581608-1643, 64581709-1646, 64581784-1650, 64581839-1601, 64582026-1739, 64582069-1744, 64582163-1757, 64582265-1746, 64582310-1751, 64582377-1733, 64582441-1761, 64582485-1766, 64582611-1771 to 64582611-1772, 64582624-1776, 64582741-1781, 64582758-1786, 64582803-1791, 64582869-1793, 64582933-1799 to 64582933-1800, 64582974-1717, 64583004-1706, 64583064-1709 to 64583064-1710, 64583117-1698, 64583132-1703, 64583240-1696, 64583297-1685, 64583401-1680, 67227643-1854, 67228973-1859, 68534841-1881, 65944579-1803, 65944647-1806, 65944670-1812, 64581146-1611, 64581222-1615, 64581286-1659, 64581356-1626, 64581408-1632, 64581480-1637, 64581538-1657, 64581610-1642, 64581721-1647, 64581834-1651, 64581989-1737, 64582156-1755, 64582230-1760, 64582285-1748, 64582333-1729, 64582397-1731, 64582459-1763, 64582527-1768, 64582677-1777, 64582794-1788, 64582809-1792, 64582873-1796, 64583078-1697, 64583131-1701, 64583195-1690, 64583282-1682, 64583316-1687, 64583357-1675, 64583412-1665, 64583561-1724, 67227187-1852, 67228580-1857, 65944576-1801, 65944595-1807, 65944668-1811, 65944713-1816, 65944766-1820, 65944771-1821, 65944778-1822, 65944781-1823, 65944816-1825, 65944817-1826, 65944820-1828, 65944826-1827, 65944833-1830, 65944875-1832, 65944880-1831, 65944880-1833, 65944890-1834, 65944903-1836, 65944904-1835, 65944937-1837, 65944942-1838, 65944946-1839, 65944954-1840, 65944958-1841, 65944961-1842, 65944988-1843, 65944993-1844, 65944996-1845, 65945005-1846, 65945005-1848, 65945009-1847, 65945039-1849, 65945049-1850</v>
          </cell>
        </row>
        <row r="639">
          <cell r="E639"/>
          <cell r="F639">
            <v>8</v>
          </cell>
          <cell r="G639">
            <v>10.15</v>
          </cell>
          <cell r="H639">
            <v>81.2</v>
          </cell>
          <cell r="I639" t="str">
            <v>PISTA</v>
          </cell>
          <cell r="J639" t="str">
            <v>Pista - Inshell</v>
          </cell>
          <cell r="K639"/>
          <cell r="L639"/>
          <cell r="M639" t="str">
            <v>California Pista Inshell</v>
          </cell>
          <cell r="N639" t="str">
            <v>CFPL</v>
          </cell>
          <cell r="O639" t="str">
            <v>Savla</v>
          </cell>
          <cell r="P639" t="str">
            <v>PRIMEX INTERNATIONAL</v>
          </cell>
          <cell r="Q639"/>
          <cell r="R639">
            <v>0</v>
          </cell>
          <cell r="S639">
            <v>40</v>
          </cell>
          <cell r="T639" t="str">
            <v>31-60 Days</v>
          </cell>
          <cell r="U639">
            <v>8</v>
          </cell>
          <cell r="V639" t="str">
            <v>68369197-1874, 68474923-1878, 68871492-1892, 68153666-1863, 68678355-1887, 68438121-1877, 68307171-1870, 68787406-1889</v>
          </cell>
        </row>
        <row r="640">
          <cell r="E640" t="str">
            <v>13296</v>
          </cell>
          <cell r="F640">
            <v>210</v>
          </cell>
          <cell r="G640">
            <v>5</v>
          </cell>
          <cell r="H640">
            <v>1050</v>
          </cell>
          <cell r="I640" t="str">
            <v>DATES</v>
          </cell>
          <cell r="J640" t="str">
            <v>Medjoul-Jumbo</v>
          </cell>
          <cell r="K640" t="str">
            <v>Medjoul-Jumbo</v>
          </cell>
          <cell r="L640" t="str">
            <v>Jumbo</v>
          </cell>
          <cell r="M640" t="str">
            <v>MEDJOUL DATES JUMBO</v>
          </cell>
          <cell r="N640" t="str">
            <v>CFPL</v>
          </cell>
          <cell r="O640" t="str">
            <v>Savla Bond</v>
          </cell>
          <cell r="P640" t="str">
            <v>Hadiklaim</v>
          </cell>
          <cell r="Q640">
            <v>1057</v>
          </cell>
          <cell r="R640">
            <v>1109850</v>
          </cell>
          <cell r="S640">
            <v>102</v>
          </cell>
          <cell r="T640" t="str">
            <v>91-180 Days</v>
          </cell>
          <cell r="U640">
            <v>210</v>
          </cell>
          <cell r="V640" t="str">
            <v>68001000-1 to 68001000-210</v>
          </cell>
        </row>
        <row r="641">
          <cell r="E641" t="str">
            <v>13297</v>
          </cell>
          <cell r="F641">
            <v>210</v>
          </cell>
          <cell r="G641">
            <v>5</v>
          </cell>
          <cell r="H641">
            <v>1050</v>
          </cell>
          <cell r="I641" t="str">
            <v>DATES</v>
          </cell>
          <cell r="J641" t="str">
            <v>Medjoul-Jumbo</v>
          </cell>
          <cell r="K641" t="str">
            <v>Medjoul-Jumbo</v>
          </cell>
          <cell r="L641" t="str">
            <v>Jumbo</v>
          </cell>
          <cell r="M641" t="str">
            <v>MEDJOUL DATES JUMBO</v>
          </cell>
          <cell r="N641" t="str">
            <v>CFPL</v>
          </cell>
          <cell r="O641" t="str">
            <v>Savla Bond</v>
          </cell>
          <cell r="P641" t="str">
            <v>Hadiklaim</v>
          </cell>
          <cell r="Q641">
            <v>1057</v>
          </cell>
          <cell r="R641">
            <v>1109850</v>
          </cell>
          <cell r="S641">
            <v>102</v>
          </cell>
          <cell r="T641" t="str">
            <v>91-180 Days</v>
          </cell>
          <cell r="U641">
            <v>210</v>
          </cell>
          <cell r="V641" t="str">
            <v>68002000-1 to 68002000-210</v>
          </cell>
        </row>
        <row r="642">
          <cell r="E642" t="str">
            <v>13298</v>
          </cell>
          <cell r="F642">
            <v>210</v>
          </cell>
          <cell r="G642">
            <v>5</v>
          </cell>
          <cell r="H642">
            <v>1050</v>
          </cell>
          <cell r="I642" t="str">
            <v>DATES</v>
          </cell>
          <cell r="J642" t="str">
            <v>Medjoul-Jumbo</v>
          </cell>
          <cell r="K642" t="str">
            <v>Medjoul-Jumbo</v>
          </cell>
          <cell r="L642" t="str">
            <v>Jumbo</v>
          </cell>
          <cell r="M642" t="str">
            <v>MEDJOUL DATES JUMBO</v>
          </cell>
          <cell r="N642" t="str">
            <v>CFPL</v>
          </cell>
          <cell r="O642" t="str">
            <v>Savla Bond</v>
          </cell>
          <cell r="P642" t="str">
            <v>Hadiklaim</v>
          </cell>
          <cell r="Q642">
            <v>1057</v>
          </cell>
          <cell r="R642">
            <v>1109850</v>
          </cell>
          <cell r="S642">
            <v>102</v>
          </cell>
          <cell r="T642" t="str">
            <v>91-180 Days</v>
          </cell>
          <cell r="U642">
            <v>210</v>
          </cell>
          <cell r="V642" t="str">
            <v>90728000-1 to 90728000-210</v>
          </cell>
        </row>
        <row r="643">
          <cell r="E643" t="str">
            <v>13301</v>
          </cell>
          <cell r="F643">
            <v>210</v>
          </cell>
          <cell r="G643">
            <v>5</v>
          </cell>
          <cell r="H643">
            <v>1050</v>
          </cell>
          <cell r="I643" t="str">
            <v>DATES</v>
          </cell>
          <cell r="J643" t="str">
            <v>Medjoul-Large</v>
          </cell>
          <cell r="K643" t="str">
            <v>Medjoul-Large</v>
          </cell>
          <cell r="L643" t="str">
            <v>Large</v>
          </cell>
          <cell r="M643" t="str">
            <v>Medjoul Dates Large</v>
          </cell>
          <cell r="N643" t="str">
            <v>CFPL</v>
          </cell>
          <cell r="O643" t="str">
            <v>Savla Bond</v>
          </cell>
          <cell r="P643" t="str">
            <v>Hadiklaim</v>
          </cell>
          <cell r="Q643">
            <v>871.2</v>
          </cell>
          <cell r="R643">
            <v>914760</v>
          </cell>
          <cell r="S643">
            <v>102</v>
          </cell>
          <cell r="T643" t="str">
            <v>91-180 Days</v>
          </cell>
          <cell r="U643">
            <v>210</v>
          </cell>
          <cell r="V643" t="str">
            <v>90725000-1 to 90725000-210</v>
          </cell>
        </row>
        <row r="644">
          <cell r="E644" t="str">
            <v>13302</v>
          </cell>
          <cell r="F644">
            <v>210</v>
          </cell>
          <cell r="G644">
            <v>5</v>
          </cell>
          <cell r="H644">
            <v>1050</v>
          </cell>
          <cell r="I644" t="str">
            <v>DATES</v>
          </cell>
          <cell r="J644" t="str">
            <v>Medjoul-Large</v>
          </cell>
          <cell r="K644" t="str">
            <v>Medjoul-Large</v>
          </cell>
          <cell r="L644" t="str">
            <v>Large</v>
          </cell>
          <cell r="M644" t="str">
            <v>Medjoul Dates Large</v>
          </cell>
          <cell r="N644" t="str">
            <v>CFPL</v>
          </cell>
          <cell r="O644" t="str">
            <v>Savla Bond</v>
          </cell>
          <cell r="P644" t="str">
            <v>Hadiklaim</v>
          </cell>
          <cell r="Q644">
            <v>871.2</v>
          </cell>
          <cell r="R644">
            <v>914760</v>
          </cell>
          <cell r="S644">
            <v>102</v>
          </cell>
          <cell r="T644" t="str">
            <v>91-180 Days</v>
          </cell>
          <cell r="U644">
            <v>210</v>
          </cell>
          <cell r="V644" t="str">
            <v>90724000-1 to 90724000-210</v>
          </cell>
        </row>
        <row r="645">
          <cell r="E645" t="str">
            <v>13303</v>
          </cell>
          <cell r="F645">
            <v>210</v>
          </cell>
          <cell r="G645">
            <v>5</v>
          </cell>
          <cell r="H645">
            <v>1050</v>
          </cell>
          <cell r="I645" t="str">
            <v>DATES</v>
          </cell>
          <cell r="J645" t="str">
            <v>Medjoul-Large</v>
          </cell>
          <cell r="K645" t="str">
            <v>Medjoul-Large</v>
          </cell>
          <cell r="L645" t="str">
            <v>Large</v>
          </cell>
          <cell r="M645" t="str">
            <v>Medjoul Dates Large</v>
          </cell>
          <cell r="N645" t="str">
            <v>CFPL</v>
          </cell>
          <cell r="O645" t="str">
            <v>Savla Bond</v>
          </cell>
          <cell r="P645" t="str">
            <v>Hadiklaim</v>
          </cell>
          <cell r="Q645">
            <v>871.2</v>
          </cell>
          <cell r="R645">
            <v>914760</v>
          </cell>
          <cell r="S645">
            <v>102</v>
          </cell>
          <cell r="T645" t="str">
            <v>91-180 Days</v>
          </cell>
          <cell r="U645">
            <v>210</v>
          </cell>
          <cell r="V645" t="str">
            <v>90723000-1 to 90723000-210</v>
          </cell>
        </row>
        <row r="646">
          <cell r="E646" t="str">
            <v>13304</v>
          </cell>
          <cell r="F646">
            <v>210</v>
          </cell>
          <cell r="G646">
            <v>5</v>
          </cell>
          <cell r="H646">
            <v>1050</v>
          </cell>
          <cell r="I646" t="str">
            <v>DATES</v>
          </cell>
          <cell r="J646" t="str">
            <v>Medjoul-Large</v>
          </cell>
          <cell r="K646" t="str">
            <v>Medjoul-Large</v>
          </cell>
          <cell r="L646" t="str">
            <v>Large</v>
          </cell>
          <cell r="M646" t="str">
            <v>Medjoul Dates Large</v>
          </cell>
          <cell r="N646" t="str">
            <v>CFPL</v>
          </cell>
          <cell r="O646" t="str">
            <v>Savla Bond</v>
          </cell>
          <cell r="P646" t="str">
            <v>Hadiklaim</v>
          </cell>
          <cell r="Q646">
            <v>871.2</v>
          </cell>
          <cell r="R646">
            <v>914760</v>
          </cell>
          <cell r="S646">
            <v>102</v>
          </cell>
          <cell r="T646" t="str">
            <v>91-180 Days</v>
          </cell>
          <cell r="U646">
            <v>210</v>
          </cell>
          <cell r="V646" t="str">
            <v>90722000-1 to 90722000-210</v>
          </cell>
        </row>
        <row r="647">
          <cell r="E647" t="str">
            <v>13305</v>
          </cell>
          <cell r="F647">
            <v>210</v>
          </cell>
          <cell r="G647">
            <v>5</v>
          </cell>
          <cell r="H647">
            <v>1050</v>
          </cell>
          <cell r="I647" t="str">
            <v>DATES</v>
          </cell>
          <cell r="J647" t="str">
            <v>Medjoul-Large</v>
          </cell>
          <cell r="K647" t="str">
            <v>Medjoul-Large</v>
          </cell>
          <cell r="L647" t="str">
            <v>Large</v>
          </cell>
          <cell r="M647" t="str">
            <v>Medjoul Dates Large</v>
          </cell>
          <cell r="N647" t="str">
            <v>CFPL</v>
          </cell>
          <cell r="O647" t="str">
            <v>Savla Bond</v>
          </cell>
          <cell r="P647" t="str">
            <v>Hadiklaim</v>
          </cell>
          <cell r="Q647">
            <v>871.2</v>
          </cell>
          <cell r="R647">
            <v>914760</v>
          </cell>
          <cell r="S647">
            <v>102</v>
          </cell>
          <cell r="T647" t="str">
            <v>91-180 Days</v>
          </cell>
          <cell r="U647">
            <v>210</v>
          </cell>
          <cell r="V647" t="str">
            <v>90721000-1 to 90721000-210</v>
          </cell>
        </row>
        <row r="648">
          <cell r="E648" t="str">
            <v>13306</v>
          </cell>
          <cell r="F648">
            <v>210</v>
          </cell>
          <cell r="G648">
            <v>5</v>
          </cell>
          <cell r="H648">
            <v>1050</v>
          </cell>
          <cell r="I648" t="str">
            <v>DATES</v>
          </cell>
          <cell r="J648" t="str">
            <v>Medjoul-Large</v>
          </cell>
          <cell r="K648" t="str">
            <v>Medjoul-Large</v>
          </cell>
          <cell r="L648" t="str">
            <v>Large</v>
          </cell>
          <cell r="M648" t="str">
            <v>Medjoul Dates Large</v>
          </cell>
          <cell r="N648" t="str">
            <v>CFPL</v>
          </cell>
          <cell r="O648" t="str">
            <v>Savla Bond</v>
          </cell>
          <cell r="P648" t="str">
            <v>Hadiklaim</v>
          </cell>
          <cell r="Q648">
            <v>871.2</v>
          </cell>
          <cell r="R648">
            <v>914760</v>
          </cell>
          <cell r="S648">
            <v>102</v>
          </cell>
          <cell r="T648" t="str">
            <v>91-180 Days</v>
          </cell>
          <cell r="U648">
            <v>210</v>
          </cell>
          <cell r="V648" t="str">
            <v>90720000-1 to 90720000-210</v>
          </cell>
        </row>
        <row r="649">
          <cell r="E649" t="str">
            <v>13307</v>
          </cell>
          <cell r="F649">
            <v>210</v>
          </cell>
          <cell r="G649">
            <v>5</v>
          </cell>
          <cell r="H649">
            <v>1050</v>
          </cell>
          <cell r="I649" t="str">
            <v>DATES</v>
          </cell>
          <cell r="J649" t="str">
            <v>Medjoul-Large</v>
          </cell>
          <cell r="K649" t="str">
            <v>Medjoul-Large</v>
          </cell>
          <cell r="L649" t="str">
            <v>Large</v>
          </cell>
          <cell r="M649" t="str">
            <v>Medjoul Dates Large</v>
          </cell>
          <cell r="N649" t="str">
            <v>CFPL</v>
          </cell>
          <cell r="O649" t="str">
            <v>Savla Bond</v>
          </cell>
          <cell r="P649" t="str">
            <v>Hadiklaim</v>
          </cell>
          <cell r="Q649">
            <v>871.2</v>
          </cell>
          <cell r="R649">
            <v>914760</v>
          </cell>
          <cell r="S649">
            <v>102</v>
          </cell>
          <cell r="T649" t="str">
            <v>91-180 Days</v>
          </cell>
          <cell r="U649">
            <v>210</v>
          </cell>
          <cell r="V649" t="str">
            <v>90719000-1 to 90719000-210</v>
          </cell>
        </row>
        <row r="650">
          <cell r="E650" t="str">
            <v>13308</v>
          </cell>
          <cell r="F650">
            <v>210</v>
          </cell>
          <cell r="G650">
            <v>5</v>
          </cell>
          <cell r="H650">
            <v>1050</v>
          </cell>
          <cell r="I650" t="str">
            <v>DATES</v>
          </cell>
          <cell r="J650" t="str">
            <v>Medjoul-Large</v>
          </cell>
          <cell r="K650" t="str">
            <v>Medjoul-Large</v>
          </cell>
          <cell r="L650" t="str">
            <v>Large</v>
          </cell>
          <cell r="M650" t="str">
            <v>Medjoul Dates Large</v>
          </cell>
          <cell r="N650" t="str">
            <v>CFPL</v>
          </cell>
          <cell r="O650" t="str">
            <v>Savla Bond</v>
          </cell>
          <cell r="P650" t="str">
            <v>Hadiklaim</v>
          </cell>
          <cell r="Q650">
            <v>871.2</v>
          </cell>
          <cell r="R650">
            <v>914760</v>
          </cell>
          <cell r="S650">
            <v>102</v>
          </cell>
          <cell r="T650" t="str">
            <v>91-180 Days</v>
          </cell>
          <cell r="U650">
            <v>210</v>
          </cell>
          <cell r="V650" t="str">
            <v>90718000-1 to 90718000-210</v>
          </cell>
        </row>
        <row r="651">
          <cell r="E651" t="str">
            <v>13309</v>
          </cell>
          <cell r="F651">
            <v>210</v>
          </cell>
          <cell r="G651">
            <v>5</v>
          </cell>
          <cell r="H651">
            <v>1050</v>
          </cell>
          <cell r="I651" t="str">
            <v>DATES</v>
          </cell>
          <cell r="J651" t="str">
            <v>Medjoul-Large</v>
          </cell>
          <cell r="K651" t="str">
            <v>Medjoul-Large</v>
          </cell>
          <cell r="L651" t="str">
            <v>Large</v>
          </cell>
          <cell r="M651" t="str">
            <v>Medjoul Dates Large</v>
          </cell>
          <cell r="N651" t="str">
            <v>CFPL</v>
          </cell>
          <cell r="O651" t="str">
            <v>Savla Bond</v>
          </cell>
          <cell r="P651" t="str">
            <v>Hadiklaim</v>
          </cell>
          <cell r="Q651">
            <v>871.2</v>
          </cell>
          <cell r="R651">
            <v>914760</v>
          </cell>
          <cell r="S651">
            <v>102</v>
          </cell>
          <cell r="T651" t="str">
            <v>91-180 Days</v>
          </cell>
          <cell r="U651">
            <v>210</v>
          </cell>
          <cell r="V651" t="str">
            <v>90717000-1 to 90717000-210</v>
          </cell>
        </row>
        <row r="652">
          <cell r="E652" t="str">
            <v>13310</v>
          </cell>
          <cell r="F652">
            <v>210</v>
          </cell>
          <cell r="G652">
            <v>5</v>
          </cell>
          <cell r="H652">
            <v>1050</v>
          </cell>
          <cell r="I652" t="str">
            <v>DATES</v>
          </cell>
          <cell r="J652" t="str">
            <v>Medjoul-Large</v>
          </cell>
          <cell r="K652" t="str">
            <v>Medjoul-Large</v>
          </cell>
          <cell r="L652" t="str">
            <v>Large</v>
          </cell>
          <cell r="M652" t="str">
            <v>Medjoul Dates Large</v>
          </cell>
          <cell r="N652" t="str">
            <v>CFPL</v>
          </cell>
          <cell r="O652" t="str">
            <v>Savla Bond</v>
          </cell>
          <cell r="P652" t="str">
            <v>Hadiklaim</v>
          </cell>
          <cell r="Q652">
            <v>871.2</v>
          </cell>
          <cell r="R652">
            <v>914760</v>
          </cell>
          <cell r="S652">
            <v>102</v>
          </cell>
          <cell r="T652" t="str">
            <v>91-180 Days</v>
          </cell>
          <cell r="U652">
            <v>210</v>
          </cell>
          <cell r="V652" t="str">
            <v>90716000-1 to 90716000-210</v>
          </cell>
        </row>
        <row r="653">
          <cell r="E653" t="str">
            <v>13311</v>
          </cell>
          <cell r="F653">
            <v>210</v>
          </cell>
          <cell r="G653">
            <v>5</v>
          </cell>
          <cell r="H653">
            <v>1050</v>
          </cell>
          <cell r="I653" t="str">
            <v>DATES</v>
          </cell>
          <cell r="J653" t="str">
            <v>Medjoul-Large</v>
          </cell>
          <cell r="K653" t="str">
            <v>Medjoul-Large</v>
          </cell>
          <cell r="L653" t="str">
            <v>Large</v>
          </cell>
          <cell r="M653" t="str">
            <v>Medjoul Dates Large</v>
          </cell>
          <cell r="N653" t="str">
            <v>CFPL</v>
          </cell>
          <cell r="O653" t="str">
            <v>Savla Bond</v>
          </cell>
          <cell r="P653" t="str">
            <v>Hadiklaim</v>
          </cell>
          <cell r="Q653">
            <v>871.2</v>
          </cell>
          <cell r="R653">
            <v>914760</v>
          </cell>
          <cell r="S653">
            <v>102</v>
          </cell>
          <cell r="T653" t="str">
            <v>91-180 Days</v>
          </cell>
          <cell r="U653">
            <v>210</v>
          </cell>
          <cell r="V653" t="str">
            <v>90715000-1 to 90715000-210</v>
          </cell>
        </row>
        <row r="654">
          <cell r="E654" t="str">
            <v>13312</v>
          </cell>
          <cell r="F654">
            <v>210</v>
          </cell>
          <cell r="G654">
            <v>5</v>
          </cell>
          <cell r="H654">
            <v>1050</v>
          </cell>
          <cell r="I654" t="str">
            <v>DATES</v>
          </cell>
          <cell r="J654" t="str">
            <v>Medjoul-Large</v>
          </cell>
          <cell r="K654" t="str">
            <v>Medjoul-Large</v>
          </cell>
          <cell r="L654" t="str">
            <v>Large</v>
          </cell>
          <cell r="M654" t="str">
            <v>Medjoul Dates Large</v>
          </cell>
          <cell r="N654" t="str">
            <v>CFPL</v>
          </cell>
          <cell r="O654" t="str">
            <v>Savla Bond</v>
          </cell>
          <cell r="P654" t="str">
            <v>Hadiklaim</v>
          </cell>
          <cell r="Q654">
            <v>871.2</v>
          </cell>
          <cell r="R654">
            <v>914760</v>
          </cell>
          <cell r="S654">
            <v>102</v>
          </cell>
          <cell r="T654" t="str">
            <v>91-180 Days</v>
          </cell>
          <cell r="U654">
            <v>210</v>
          </cell>
          <cell r="V654" t="str">
            <v>90714000-1 to 90714000-210</v>
          </cell>
        </row>
        <row r="655">
          <cell r="E655" t="str">
            <v>13313</v>
          </cell>
          <cell r="F655">
            <v>210</v>
          </cell>
          <cell r="G655">
            <v>5</v>
          </cell>
          <cell r="H655">
            <v>1050</v>
          </cell>
          <cell r="I655" t="str">
            <v>DATES</v>
          </cell>
          <cell r="J655" t="str">
            <v>Medjoul-Large</v>
          </cell>
          <cell r="K655" t="str">
            <v>Medjoul-Large</v>
          </cell>
          <cell r="L655" t="str">
            <v>Large</v>
          </cell>
          <cell r="M655" t="str">
            <v>Medjoul Dates Large</v>
          </cell>
          <cell r="N655" t="str">
            <v>CFPL</v>
          </cell>
          <cell r="O655" t="str">
            <v>Savla Bond</v>
          </cell>
          <cell r="P655" t="str">
            <v>Hadiklaim</v>
          </cell>
          <cell r="Q655">
            <v>871.2</v>
          </cell>
          <cell r="R655">
            <v>914760</v>
          </cell>
          <cell r="S655">
            <v>102</v>
          </cell>
          <cell r="T655" t="str">
            <v>91-180 Days</v>
          </cell>
          <cell r="U655">
            <v>210</v>
          </cell>
          <cell r="V655" t="str">
            <v>90712000-1 to 90712000-210</v>
          </cell>
        </row>
        <row r="656">
          <cell r="E656" t="str">
            <v>13314</v>
          </cell>
          <cell r="F656">
            <v>210</v>
          </cell>
          <cell r="G656">
            <v>5</v>
          </cell>
          <cell r="H656">
            <v>1050</v>
          </cell>
          <cell r="I656" t="str">
            <v>DATES</v>
          </cell>
          <cell r="J656" t="str">
            <v>Medjoul-Large</v>
          </cell>
          <cell r="K656" t="str">
            <v>Medjoul-Large</v>
          </cell>
          <cell r="L656" t="str">
            <v>Large</v>
          </cell>
          <cell r="M656" t="str">
            <v>Medjoul Dates Large</v>
          </cell>
          <cell r="N656" t="str">
            <v>CFPL</v>
          </cell>
          <cell r="O656" t="str">
            <v>Savla Bond</v>
          </cell>
          <cell r="P656" t="str">
            <v>Hadiklaim</v>
          </cell>
          <cell r="Q656">
            <v>871.2</v>
          </cell>
          <cell r="R656">
            <v>914760</v>
          </cell>
          <cell r="S656">
            <v>102</v>
          </cell>
          <cell r="T656" t="str">
            <v>91-180 Days</v>
          </cell>
          <cell r="U656">
            <v>210</v>
          </cell>
          <cell r="V656" t="str">
            <v>90713000-1 to 90713000-210</v>
          </cell>
        </row>
        <row r="657">
          <cell r="E657" t="str">
            <v>15717</v>
          </cell>
          <cell r="F657">
            <v>200</v>
          </cell>
          <cell r="G657">
            <v>5</v>
          </cell>
          <cell r="H657">
            <v>1000</v>
          </cell>
          <cell r="I657" t="str">
            <v>DATES</v>
          </cell>
          <cell r="J657" t="str">
            <v>Medjoul-Seedless</v>
          </cell>
          <cell r="K657" t="str">
            <v>Medjoul-Large-Seedless</v>
          </cell>
          <cell r="L657" t="str">
            <v>Large Seedless</v>
          </cell>
          <cell r="M657" t="str">
            <v>Medjoul Dates Large Seedless</v>
          </cell>
          <cell r="N657" t="str">
            <v>CFPL</v>
          </cell>
          <cell r="O657" t="str">
            <v>Savla Bond</v>
          </cell>
          <cell r="P657" t="str">
            <v>Hadiklaim</v>
          </cell>
          <cell r="Q657">
            <v>900</v>
          </cell>
          <cell r="R657">
            <v>900000</v>
          </cell>
          <cell r="S657">
            <v>33</v>
          </cell>
          <cell r="T657" t="str">
            <v>31-60 Days</v>
          </cell>
          <cell r="U657">
            <v>200</v>
          </cell>
          <cell r="V657" t="str">
            <v>29606000-1 to 29606000-200</v>
          </cell>
        </row>
        <row r="658">
          <cell r="E658" t="str">
            <v>15718</v>
          </cell>
          <cell r="F658">
            <v>210</v>
          </cell>
          <cell r="G658">
            <v>5</v>
          </cell>
          <cell r="H658">
            <v>1050</v>
          </cell>
          <cell r="I658" t="str">
            <v>DATES</v>
          </cell>
          <cell r="J658" t="str">
            <v>Medjoul-Large</v>
          </cell>
          <cell r="K658" t="str">
            <v>Medjoul-Large</v>
          </cell>
          <cell r="L658" t="str">
            <v>Large</v>
          </cell>
          <cell r="M658" t="str">
            <v>Medjoul Dates Large</v>
          </cell>
          <cell r="N658" t="str">
            <v>CFPL</v>
          </cell>
          <cell r="O658" t="str">
            <v>Savla Bond</v>
          </cell>
          <cell r="P658" t="str">
            <v>Hadiklaim</v>
          </cell>
          <cell r="Q658">
            <v>871.2</v>
          </cell>
          <cell r="R658">
            <v>914760</v>
          </cell>
          <cell r="S658">
            <v>33</v>
          </cell>
          <cell r="T658" t="str">
            <v>31-60 Days</v>
          </cell>
          <cell r="U658">
            <v>210</v>
          </cell>
          <cell r="V658" t="str">
            <v>29607000-1 to 29607000-210</v>
          </cell>
        </row>
        <row r="659">
          <cell r="E659" t="str">
            <v>15719</v>
          </cell>
          <cell r="F659">
            <v>210</v>
          </cell>
          <cell r="G659">
            <v>5</v>
          </cell>
          <cell r="H659">
            <v>1050</v>
          </cell>
          <cell r="I659" t="str">
            <v>DATES</v>
          </cell>
          <cell r="J659" t="str">
            <v>Medjoul-Large</v>
          </cell>
          <cell r="K659" t="str">
            <v>Medjoul-Large</v>
          </cell>
          <cell r="L659" t="str">
            <v>Large</v>
          </cell>
          <cell r="M659" t="str">
            <v>Medjoul Dates Large</v>
          </cell>
          <cell r="N659" t="str">
            <v>CFPL</v>
          </cell>
          <cell r="O659" t="str">
            <v>Savla Bond</v>
          </cell>
          <cell r="P659" t="str">
            <v>Hadiklaim</v>
          </cell>
          <cell r="Q659">
            <v>871.2</v>
          </cell>
          <cell r="R659">
            <v>914760</v>
          </cell>
          <cell r="S659">
            <v>33</v>
          </cell>
          <cell r="T659" t="str">
            <v>31-60 Days</v>
          </cell>
          <cell r="U659">
            <v>210</v>
          </cell>
          <cell r="V659" t="str">
            <v>29608000-1 to 29608000-210</v>
          </cell>
        </row>
        <row r="660">
          <cell r="E660" t="str">
            <v>15720</v>
          </cell>
          <cell r="F660">
            <v>210</v>
          </cell>
          <cell r="G660">
            <v>5</v>
          </cell>
          <cell r="H660">
            <v>1050</v>
          </cell>
          <cell r="I660" t="str">
            <v>DATES</v>
          </cell>
          <cell r="J660" t="str">
            <v>Medjoul-Large</v>
          </cell>
          <cell r="K660" t="str">
            <v>Medjoul-Large</v>
          </cell>
          <cell r="L660" t="str">
            <v>Large</v>
          </cell>
          <cell r="M660" t="str">
            <v>Medjoul Dates Large</v>
          </cell>
          <cell r="N660" t="str">
            <v>CFPL</v>
          </cell>
          <cell r="O660" t="str">
            <v>Savla Bond</v>
          </cell>
          <cell r="P660" t="str">
            <v>Hadiklaim</v>
          </cell>
          <cell r="Q660">
            <v>871.2</v>
          </cell>
          <cell r="R660">
            <v>914760</v>
          </cell>
          <cell r="S660">
            <v>33</v>
          </cell>
          <cell r="T660" t="str">
            <v>31-60 Days</v>
          </cell>
          <cell r="U660">
            <v>210</v>
          </cell>
          <cell r="V660" t="str">
            <v>29609000-1 to 29609000-210</v>
          </cell>
        </row>
        <row r="661">
          <cell r="E661" t="str">
            <v>15721</v>
          </cell>
          <cell r="F661">
            <v>210</v>
          </cell>
          <cell r="G661">
            <v>5</v>
          </cell>
          <cell r="H661">
            <v>1050</v>
          </cell>
          <cell r="I661" t="str">
            <v>DATES</v>
          </cell>
          <cell r="J661" t="str">
            <v>Medjoul-Large</v>
          </cell>
          <cell r="K661" t="str">
            <v>Medjoul-Large</v>
          </cell>
          <cell r="L661" t="str">
            <v>Large</v>
          </cell>
          <cell r="M661" t="str">
            <v>Medjoul Dates Large</v>
          </cell>
          <cell r="N661" t="str">
            <v>CFPL</v>
          </cell>
          <cell r="O661" t="str">
            <v>Savla Bond</v>
          </cell>
          <cell r="P661" t="str">
            <v>Hadiklaim</v>
          </cell>
          <cell r="Q661">
            <v>871.2</v>
          </cell>
          <cell r="R661">
            <v>914760</v>
          </cell>
          <cell r="S661">
            <v>33</v>
          </cell>
          <cell r="T661" t="str">
            <v>31-60 Days</v>
          </cell>
          <cell r="U661">
            <v>210</v>
          </cell>
          <cell r="V661" t="str">
            <v>29610000-1 to 29610000-210</v>
          </cell>
        </row>
        <row r="662">
          <cell r="E662" t="str">
            <v>15722</v>
          </cell>
          <cell r="F662">
            <v>210</v>
          </cell>
          <cell r="G662">
            <v>5</v>
          </cell>
          <cell r="H662">
            <v>1050</v>
          </cell>
          <cell r="I662" t="str">
            <v>DATES</v>
          </cell>
          <cell r="J662" t="str">
            <v>Medjoul-Large</v>
          </cell>
          <cell r="K662" t="str">
            <v>Medjoul-Large</v>
          </cell>
          <cell r="L662" t="str">
            <v>Large</v>
          </cell>
          <cell r="M662" t="str">
            <v>Medjoul Dates Large</v>
          </cell>
          <cell r="N662" t="str">
            <v>CFPL</v>
          </cell>
          <cell r="O662" t="str">
            <v>Savla Bond</v>
          </cell>
          <cell r="P662" t="str">
            <v>Hadiklaim</v>
          </cell>
          <cell r="Q662">
            <v>871.2</v>
          </cell>
          <cell r="R662">
            <v>914760</v>
          </cell>
          <cell r="S662">
            <v>33</v>
          </cell>
          <cell r="T662" t="str">
            <v>31-60 Days</v>
          </cell>
          <cell r="U662">
            <v>210</v>
          </cell>
          <cell r="V662" t="str">
            <v>29611000-1 to 29611000-210</v>
          </cell>
        </row>
        <row r="663">
          <cell r="E663" t="str">
            <v>15723</v>
          </cell>
          <cell r="F663">
            <v>210</v>
          </cell>
          <cell r="G663">
            <v>5</v>
          </cell>
          <cell r="H663">
            <v>1050</v>
          </cell>
          <cell r="I663" t="str">
            <v>DATES</v>
          </cell>
          <cell r="J663" t="str">
            <v>Medjoul-Large</v>
          </cell>
          <cell r="K663" t="str">
            <v>Medjoul-Large</v>
          </cell>
          <cell r="L663" t="str">
            <v>Large</v>
          </cell>
          <cell r="M663" t="str">
            <v>Medjoul Dates Large</v>
          </cell>
          <cell r="N663" t="str">
            <v>CFPL</v>
          </cell>
          <cell r="O663" t="str">
            <v>Savla Bond</v>
          </cell>
          <cell r="P663" t="str">
            <v>Hadiklaim</v>
          </cell>
          <cell r="Q663">
            <v>871.2</v>
          </cell>
          <cell r="R663">
            <v>914760</v>
          </cell>
          <cell r="S663">
            <v>33</v>
          </cell>
          <cell r="T663" t="str">
            <v>31-60 Days</v>
          </cell>
          <cell r="U663">
            <v>210</v>
          </cell>
          <cell r="V663" t="str">
            <v>29612000-1 to 29612000-210</v>
          </cell>
        </row>
        <row r="664">
          <cell r="E664" t="str">
            <v>15724</v>
          </cell>
          <cell r="F664">
            <v>210</v>
          </cell>
          <cell r="G664">
            <v>5</v>
          </cell>
          <cell r="H664">
            <v>1050</v>
          </cell>
          <cell r="I664" t="str">
            <v>DATES</v>
          </cell>
          <cell r="J664" t="str">
            <v>Medjoul-Large</v>
          </cell>
          <cell r="K664" t="str">
            <v>Medjoul-Large</v>
          </cell>
          <cell r="L664" t="str">
            <v>Large</v>
          </cell>
          <cell r="M664" t="str">
            <v>Medjoul Dates Large</v>
          </cell>
          <cell r="N664" t="str">
            <v>CFPL</v>
          </cell>
          <cell r="O664" t="str">
            <v>Savla Bond</v>
          </cell>
          <cell r="P664" t="str">
            <v>Hadiklaim</v>
          </cell>
          <cell r="Q664">
            <v>871.2</v>
          </cell>
          <cell r="R664">
            <v>914760</v>
          </cell>
          <cell r="S664">
            <v>33</v>
          </cell>
          <cell r="T664" t="str">
            <v>31-60 Days</v>
          </cell>
          <cell r="U664">
            <v>210</v>
          </cell>
          <cell r="V664" t="str">
            <v>29613000-1 to 29613000-210</v>
          </cell>
        </row>
        <row r="665">
          <cell r="E665" t="str">
            <v>15725</v>
          </cell>
          <cell r="F665">
            <v>210</v>
          </cell>
          <cell r="G665">
            <v>5</v>
          </cell>
          <cell r="H665">
            <v>1050</v>
          </cell>
          <cell r="I665" t="str">
            <v>DATES</v>
          </cell>
          <cell r="J665" t="str">
            <v>Medjoul-Large</v>
          </cell>
          <cell r="K665" t="str">
            <v>Medjoul-Large</v>
          </cell>
          <cell r="L665" t="str">
            <v>Large</v>
          </cell>
          <cell r="M665" t="str">
            <v>Medjoul Dates Large</v>
          </cell>
          <cell r="N665" t="str">
            <v>CFPL</v>
          </cell>
          <cell r="O665" t="str">
            <v>Savla Bond</v>
          </cell>
          <cell r="P665" t="str">
            <v>Hadiklaim</v>
          </cell>
          <cell r="Q665">
            <v>871.2</v>
          </cell>
          <cell r="R665">
            <v>914760</v>
          </cell>
          <cell r="S665">
            <v>33</v>
          </cell>
          <cell r="T665" t="str">
            <v>31-60 Days</v>
          </cell>
          <cell r="U665">
            <v>210</v>
          </cell>
          <cell r="V665" t="str">
            <v>29614000-1 to 29614000-210</v>
          </cell>
        </row>
        <row r="666">
          <cell r="E666" t="str">
            <v>15726</v>
          </cell>
          <cell r="F666">
            <v>210</v>
          </cell>
          <cell r="G666">
            <v>5</v>
          </cell>
          <cell r="H666">
            <v>1050</v>
          </cell>
          <cell r="I666" t="str">
            <v>DATES</v>
          </cell>
          <cell r="J666" t="str">
            <v>Medjoul-Super Jumbo</v>
          </cell>
          <cell r="K666" t="str">
            <v>Medjoul-Sup.Jumbo</v>
          </cell>
          <cell r="L666" t="str">
            <v>S.JUMBO</v>
          </cell>
          <cell r="M666" t="str">
            <v>Medjoul Dates Super Jumbo</v>
          </cell>
          <cell r="N666" t="str">
            <v>CFPL</v>
          </cell>
          <cell r="O666" t="str">
            <v>Savla Bond</v>
          </cell>
          <cell r="P666" t="str">
            <v>Hadiklaim</v>
          </cell>
          <cell r="Q666">
            <v>1152</v>
          </cell>
          <cell r="R666">
            <v>1209600</v>
          </cell>
          <cell r="S666">
            <v>33</v>
          </cell>
          <cell r="T666" t="str">
            <v>31-60 Days</v>
          </cell>
          <cell r="U666">
            <v>210</v>
          </cell>
          <cell r="V666" t="str">
            <v>29615000-1 to 29615000-210</v>
          </cell>
        </row>
        <row r="667">
          <cell r="E667" t="str">
            <v>15727</v>
          </cell>
          <cell r="F667">
            <v>210</v>
          </cell>
          <cell r="G667">
            <v>5</v>
          </cell>
          <cell r="H667">
            <v>1050</v>
          </cell>
          <cell r="I667" t="str">
            <v>DATES</v>
          </cell>
          <cell r="J667" t="str">
            <v>Medjoul-Super Jumbo</v>
          </cell>
          <cell r="K667" t="str">
            <v>Medjoul-Sup.Jumbo</v>
          </cell>
          <cell r="L667" t="str">
            <v>S.JUMBO</v>
          </cell>
          <cell r="M667" t="str">
            <v>Medjoul Dates Super Jumbo</v>
          </cell>
          <cell r="N667" t="str">
            <v>CFPL</v>
          </cell>
          <cell r="O667" t="str">
            <v>Savla Bond</v>
          </cell>
          <cell r="P667" t="str">
            <v>Hadiklaim</v>
          </cell>
          <cell r="Q667">
            <v>1152</v>
          </cell>
          <cell r="R667">
            <v>1209600</v>
          </cell>
          <cell r="S667">
            <v>33</v>
          </cell>
          <cell r="T667" t="str">
            <v>31-60 Days</v>
          </cell>
          <cell r="U667">
            <v>210</v>
          </cell>
          <cell r="V667" t="str">
            <v>29616000-1 to 29616000-210</v>
          </cell>
        </row>
        <row r="668">
          <cell r="E668" t="str">
            <v>15728</v>
          </cell>
          <cell r="F668">
            <v>210</v>
          </cell>
          <cell r="G668">
            <v>5</v>
          </cell>
          <cell r="H668">
            <v>1050</v>
          </cell>
          <cell r="I668" t="str">
            <v>DATES</v>
          </cell>
          <cell r="J668" t="str">
            <v>Medjoul-Jumbo</v>
          </cell>
          <cell r="K668" t="str">
            <v>Medjoul-Jumbo</v>
          </cell>
          <cell r="L668" t="str">
            <v>Jumbo</v>
          </cell>
          <cell r="M668" t="str">
            <v>MEDJOUL DATES JUMBO</v>
          </cell>
          <cell r="N668" t="str">
            <v>CFPL</v>
          </cell>
          <cell r="O668" t="str">
            <v>Savla Bond</v>
          </cell>
          <cell r="P668" t="str">
            <v>Hadiklaim</v>
          </cell>
          <cell r="Q668">
            <v>1057</v>
          </cell>
          <cell r="R668">
            <v>1109850</v>
          </cell>
          <cell r="S668">
            <v>33</v>
          </cell>
          <cell r="T668" t="str">
            <v>31-60 Days</v>
          </cell>
          <cell r="U668">
            <v>210</v>
          </cell>
          <cell r="V668" t="str">
            <v>29617000-1 to 29617000-210</v>
          </cell>
        </row>
        <row r="669">
          <cell r="E669" t="str">
            <v>15729</v>
          </cell>
          <cell r="F669">
            <v>210</v>
          </cell>
          <cell r="G669">
            <v>5</v>
          </cell>
          <cell r="H669">
            <v>1050</v>
          </cell>
          <cell r="I669" t="str">
            <v>DATES</v>
          </cell>
          <cell r="J669" t="str">
            <v>Medjoul-Jumbo</v>
          </cell>
          <cell r="K669" t="str">
            <v>Medjoul-Jumbo</v>
          </cell>
          <cell r="L669" t="str">
            <v>Jumbo</v>
          </cell>
          <cell r="M669" t="str">
            <v>MEDJOUL DATES JUMBO</v>
          </cell>
          <cell r="N669" t="str">
            <v>CFPL</v>
          </cell>
          <cell r="O669" t="str">
            <v>Savla Bond</v>
          </cell>
          <cell r="P669" t="str">
            <v>Hadiklaim</v>
          </cell>
          <cell r="Q669">
            <v>1057</v>
          </cell>
          <cell r="R669">
            <v>1109850</v>
          </cell>
          <cell r="S669">
            <v>33</v>
          </cell>
          <cell r="T669" t="str">
            <v>31-60 Days</v>
          </cell>
          <cell r="U669">
            <v>210</v>
          </cell>
          <cell r="V669" t="str">
            <v>29618000-1 to 29618000-210</v>
          </cell>
        </row>
        <row r="670">
          <cell r="E670" t="str">
            <v>15730</v>
          </cell>
          <cell r="F670">
            <v>210</v>
          </cell>
          <cell r="G670">
            <v>5</v>
          </cell>
          <cell r="H670">
            <v>1050</v>
          </cell>
          <cell r="I670" t="str">
            <v>DATES</v>
          </cell>
          <cell r="J670" t="str">
            <v>Medjoul-Medium</v>
          </cell>
          <cell r="K670" t="str">
            <v>Medjoul-Medium</v>
          </cell>
          <cell r="L670" t="str">
            <v>Medium</v>
          </cell>
          <cell r="M670" t="str">
            <v>Medjoul Dates Medium</v>
          </cell>
          <cell r="N670" t="str">
            <v>CFPL</v>
          </cell>
          <cell r="O670" t="str">
            <v>Savla Bond</v>
          </cell>
          <cell r="P670" t="str">
            <v>Hadiklaim</v>
          </cell>
          <cell r="Q670">
            <v>753.28</v>
          </cell>
          <cell r="R670">
            <v>790944</v>
          </cell>
          <cell r="S670">
            <v>33</v>
          </cell>
          <cell r="T670" t="str">
            <v>31-60 Days</v>
          </cell>
          <cell r="U670">
            <v>210</v>
          </cell>
          <cell r="V670" t="str">
            <v>29619000-1 to 29619000-210</v>
          </cell>
        </row>
        <row r="671">
          <cell r="E671" t="str">
            <v>15731</v>
          </cell>
          <cell r="F671">
            <v>210</v>
          </cell>
          <cell r="G671">
            <v>5</v>
          </cell>
          <cell r="H671">
            <v>1050</v>
          </cell>
          <cell r="I671" t="str">
            <v>DATES</v>
          </cell>
          <cell r="J671" t="str">
            <v>Medjoul-Medium</v>
          </cell>
          <cell r="K671" t="str">
            <v>Medjoul-Medium</v>
          </cell>
          <cell r="L671" t="str">
            <v>Medium</v>
          </cell>
          <cell r="M671" t="str">
            <v>Medjoul Dates Medium</v>
          </cell>
          <cell r="N671" t="str">
            <v>CFPL</v>
          </cell>
          <cell r="O671" t="str">
            <v>Savla Bond</v>
          </cell>
          <cell r="P671" t="str">
            <v>Hadiklaim</v>
          </cell>
          <cell r="Q671">
            <v>753.28</v>
          </cell>
          <cell r="R671">
            <v>790944</v>
          </cell>
          <cell r="S671">
            <v>33</v>
          </cell>
          <cell r="T671" t="str">
            <v>31-60 Days</v>
          </cell>
          <cell r="U671">
            <v>210</v>
          </cell>
          <cell r="V671" t="str">
            <v>29620000-1 to 29620000-210</v>
          </cell>
        </row>
        <row r="672">
          <cell r="E672" t="str">
            <v>15732</v>
          </cell>
          <cell r="F672">
            <v>210</v>
          </cell>
          <cell r="G672">
            <v>5</v>
          </cell>
          <cell r="H672">
            <v>1050</v>
          </cell>
          <cell r="I672" t="str">
            <v>DATES</v>
          </cell>
          <cell r="J672" t="str">
            <v>Medjoul-Medium</v>
          </cell>
          <cell r="K672" t="str">
            <v>Medjoul-Medium</v>
          </cell>
          <cell r="L672" t="str">
            <v>Medium</v>
          </cell>
          <cell r="M672" t="str">
            <v>Medjoul Dates Medium</v>
          </cell>
          <cell r="N672" t="str">
            <v>CFPL</v>
          </cell>
          <cell r="O672" t="str">
            <v>Savla Bond</v>
          </cell>
          <cell r="P672" t="str">
            <v>Hadiklaim</v>
          </cell>
          <cell r="Q672">
            <v>753.28</v>
          </cell>
          <cell r="R672">
            <v>790944</v>
          </cell>
          <cell r="S672">
            <v>33</v>
          </cell>
          <cell r="T672" t="str">
            <v>31-60 Days</v>
          </cell>
          <cell r="U672">
            <v>210</v>
          </cell>
          <cell r="V672" t="str">
            <v>29621000-1 to 29621000-210</v>
          </cell>
        </row>
        <row r="673">
          <cell r="E673" t="str">
            <v>15733</v>
          </cell>
          <cell r="F673">
            <v>210</v>
          </cell>
          <cell r="G673">
            <v>5</v>
          </cell>
          <cell r="H673">
            <v>1050</v>
          </cell>
          <cell r="I673" t="str">
            <v>DATES</v>
          </cell>
          <cell r="J673" t="str">
            <v>Medjoul-Medium</v>
          </cell>
          <cell r="K673" t="str">
            <v>Medjoul-Medium</v>
          </cell>
          <cell r="L673" t="str">
            <v>Medium</v>
          </cell>
          <cell r="M673" t="str">
            <v>Medjoul Dates Medium</v>
          </cell>
          <cell r="N673" t="str">
            <v>CFPL</v>
          </cell>
          <cell r="O673" t="str">
            <v>Savla Bond</v>
          </cell>
          <cell r="P673" t="str">
            <v>Hadiklaim</v>
          </cell>
          <cell r="Q673">
            <v>753.28</v>
          </cell>
          <cell r="R673">
            <v>790944</v>
          </cell>
          <cell r="S673">
            <v>33</v>
          </cell>
          <cell r="T673" t="str">
            <v>31-60 Days</v>
          </cell>
          <cell r="U673">
            <v>210</v>
          </cell>
          <cell r="V673" t="str">
            <v>29622000-1 to 29622000-210</v>
          </cell>
        </row>
        <row r="674">
          <cell r="E674" t="str">
            <v>15734</v>
          </cell>
          <cell r="F674">
            <v>210</v>
          </cell>
          <cell r="G674">
            <v>5</v>
          </cell>
          <cell r="H674">
            <v>1050</v>
          </cell>
          <cell r="I674" t="str">
            <v>DATES</v>
          </cell>
          <cell r="J674" t="str">
            <v>Medjoul-Medium</v>
          </cell>
          <cell r="K674" t="str">
            <v>Medjoul-Medium</v>
          </cell>
          <cell r="L674" t="str">
            <v>Medium</v>
          </cell>
          <cell r="M674" t="str">
            <v>Medjoul Dates Medium</v>
          </cell>
          <cell r="N674" t="str">
            <v>CFPL</v>
          </cell>
          <cell r="O674" t="str">
            <v>Savla Bond</v>
          </cell>
          <cell r="P674" t="str">
            <v>Hadiklaim</v>
          </cell>
          <cell r="Q674">
            <v>753.28</v>
          </cell>
          <cell r="R674">
            <v>790944</v>
          </cell>
          <cell r="S674">
            <v>33</v>
          </cell>
          <cell r="T674" t="str">
            <v>31-60 Days</v>
          </cell>
          <cell r="U674">
            <v>210</v>
          </cell>
          <cell r="V674" t="str">
            <v>29623000-1 to 29623000-210</v>
          </cell>
        </row>
        <row r="675">
          <cell r="E675" t="str">
            <v>15735</v>
          </cell>
          <cell r="F675">
            <v>200</v>
          </cell>
          <cell r="G675">
            <v>5</v>
          </cell>
          <cell r="H675">
            <v>1000</v>
          </cell>
          <cell r="I675" t="str">
            <v>DATES</v>
          </cell>
          <cell r="J675" t="str">
            <v>Amary</v>
          </cell>
          <cell r="K675" t="str">
            <v>Amary</v>
          </cell>
          <cell r="L675" t="str">
            <v>Amary</v>
          </cell>
          <cell r="M675" t="str">
            <v>Amary Dates</v>
          </cell>
          <cell r="N675" t="str">
            <v>CFPL</v>
          </cell>
          <cell r="O675" t="str">
            <v>Savla Bond</v>
          </cell>
          <cell r="P675" t="str">
            <v>Hadiklaim</v>
          </cell>
          <cell r="Q675">
            <v>315</v>
          </cell>
          <cell r="R675">
            <v>315000</v>
          </cell>
          <cell r="S675">
            <v>33</v>
          </cell>
          <cell r="T675" t="str">
            <v>31-60 Days</v>
          </cell>
          <cell r="U675">
            <v>200</v>
          </cell>
          <cell r="V675" t="str">
            <v>29624000-1 to 29624000-200</v>
          </cell>
        </row>
        <row r="676">
          <cell r="E676" t="str">
            <v>15736</v>
          </cell>
          <cell r="F676">
            <v>200</v>
          </cell>
          <cell r="G676">
            <v>5</v>
          </cell>
          <cell r="H676">
            <v>1000</v>
          </cell>
          <cell r="I676" t="str">
            <v>DATES</v>
          </cell>
          <cell r="J676" t="str">
            <v>Amary</v>
          </cell>
          <cell r="K676" t="str">
            <v>Amary</v>
          </cell>
          <cell r="L676" t="str">
            <v>Amary</v>
          </cell>
          <cell r="M676" t="str">
            <v>Amary Dates</v>
          </cell>
          <cell r="N676" t="str">
            <v>CFPL</v>
          </cell>
          <cell r="O676" t="str">
            <v>Savla Bond</v>
          </cell>
          <cell r="P676" t="str">
            <v>Hadiklaim</v>
          </cell>
          <cell r="Q676">
            <v>315</v>
          </cell>
          <cell r="R676">
            <v>315000</v>
          </cell>
          <cell r="S676">
            <v>33</v>
          </cell>
          <cell r="T676" t="str">
            <v>31-60 Days</v>
          </cell>
          <cell r="U676">
            <v>200</v>
          </cell>
          <cell r="V676" t="str">
            <v>29625000-1 to 29625000-200</v>
          </cell>
        </row>
        <row r="677">
          <cell r="E677" t="str">
            <v>130273</v>
          </cell>
          <cell r="F677">
            <v>11</v>
          </cell>
          <cell r="G677">
            <v>15</v>
          </cell>
          <cell r="H677">
            <v>165</v>
          </cell>
          <cell r="I677" t="str">
            <v>RAISIN</v>
          </cell>
          <cell r="J677" t="str">
            <v>Raisin - Indian</v>
          </cell>
          <cell r="K677" t="str">
            <v>Raisin</v>
          </cell>
          <cell r="L677"/>
          <cell r="M677" t="str">
            <v>Indian Green Raisins</v>
          </cell>
          <cell r="N677" t="str">
            <v>CFPL</v>
          </cell>
          <cell r="O677" t="str">
            <v>Unknown</v>
          </cell>
          <cell r="P677" t="str">
            <v>Savla</v>
          </cell>
          <cell r="Q677">
            <v>295</v>
          </cell>
          <cell r="R677">
            <v>48675</v>
          </cell>
          <cell r="S677">
            <v>481</v>
          </cell>
          <cell r="T677" t="str">
            <v>366-730 Days</v>
          </cell>
          <cell r="U677">
            <v>11</v>
          </cell>
          <cell r="V677" t="str">
            <v>90514000-1 to 90514000-11</v>
          </cell>
        </row>
        <row r="678">
          <cell r="E678" t="str">
            <v>TPL/OI25</v>
          </cell>
          <cell r="F678">
            <v>1</v>
          </cell>
          <cell r="G678">
            <v>9.89</v>
          </cell>
          <cell r="H678">
            <v>9.89</v>
          </cell>
          <cell r="I678" t="str">
            <v>CRANBERRY</v>
          </cell>
          <cell r="J678" t="str">
            <v>Cranberry - Sliced</v>
          </cell>
          <cell r="K678"/>
          <cell r="L678"/>
          <cell r="M678" t="str">
            <v>Cranberry Slice</v>
          </cell>
          <cell r="N678" t="str">
            <v>CFPL</v>
          </cell>
          <cell r="O678" t="str">
            <v>W202</v>
          </cell>
          <cell r="P678" t="str">
            <v>TAJIR PRIVATE LIMITED</v>
          </cell>
          <cell r="Q678"/>
          <cell r="R678">
            <v>0</v>
          </cell>
          <cell r="S678">
            <v>60</v>
          </cell>
          <cell r="T678" t="str">
            <v>31-60 Days</v>
          </cell>
          <cell r="U678">
            <v>1</v>
          </cell>
          <cell r="V678" t="str">
            <v>42794336-700</v>
          </cell>
        </row>
        <row r="679">
          <cell r="E679" t="str">
            <v>TPL/OI25</v>
          </cell>
          <cell r="F679">
            <v>660</v>
          </cell>
          <cell r="G679">
            <v>11.34</v>
          </cell>
          <cell r="H679">
            <v>7484.4</v>
          </cell>
          <cell r="I679" t="str">
            <v>CRANBERRY</v>
          </cell>
          <cell r="J679" t="str">
            <v>Cranberry - Sliced</v>
          </cell>
          <cell r="K679"/>
          <cell r="L679"/>
          <cell r="M679" t="str">
            <v>Cranberry Slice</v>
          </cell>
          <cell r="N679" t="str">
            <v>CFPL</v>
          </cell>
          <cell r="O679" t="str">
            <v>W202</v>
          </cell>
          <cell r="P679" t="str">
            <v>TAJIR PRIVATE LIMITED</v>
          </cell>
          <cell r="Q679"/>
          <cell r="R679">
            <v>0</v>
          </cell>
          <cell r="S679">
            <v>60</v>
          </cell>
          <cell r="T679" t="str">
            <v>31-60 Days</v>
          </cell>
          <cell r="U679">
            <v>660</v>
          </cell>
          <cell r="V679" t="str">
            <v>33883176-1 to 33883176-600, 42784694-628, 42785341-632, 42785886-637, 42786537-641, 42787062-646, 42787487-650, 42787944-655, 42788374-660, 42784775-629, 42785419-633, 42786021-638, 42786626-642, 42787141-647, 42787581-651, 42788025-656, 42784897-630, 42785532-634, 42786144-639, 42786706-643, 42787668-652, 42788107-657, 42785266-631, 42785661-635, 42786816-644, 42787250-648, 42787744-653, 42788212-658, 42785776-636, 42786412-640, 42786936-645, 42787382-649, 42787853-654, 42788292-659, 42781540-601, 42781736-602, 42781837-603, 42781906-604, 42782013-605, 42782172-606, 42782347-607, 42782425-608, 42782527-609, 42782687-610, 42782776-611, 42782852-612, 42782934-613, 42783026-614, 42783108-615, 42783220-616, 42783375-617, 42783458-618, 42783547-619, 42783726-620, 42783948-621, 42784047-622, 42784143-623, 42784371-624, 42784454-625, 42784537-626, 42784621-627</v>
          </cell>
        </row>
        <row r="680">
          <cell r="E680" t="str">
            <v>TPL/OI25</v>
          </cell>
          <cell r="F680">
            <v>38</v>
          </cell>
          <cell r="G680">
            <v>11.44</v>
          </cell>
          <cell r="H680">
            <v>434.72</v>
          </cell>
          <cell r="I680" t="str">
            <v>CRANBERRY</v>
          </cell>
          <cell r="J680" t="str">
            <v>Cranberry - Sliced</v>
          </cell>
          <cell r="K680"/>
          <cell r="L680"/>
          <cell r="M680" t="str">
            <v>Cranberry Slice</v>
          </cell>
          <cell r="N680" t="str">
            <v>CFPL</v>
          </cell>
          <cell r="O680" t="str">
            <v>W202</v>
          </cell>
          <cell r="P680" t="str">
            <v>TAJIR PRIVATE LIMITED</v>
          </cell>
          <cell r="Q680"/>
          <cell r="R680">
            <v>0</v>
          </cell>
          <cell r="S680">
            <v>60</v>
          </cell>
          <cell r="T680" t="str">
            <v>31-60 Days</v>
          </cell>
          <cell r="U680">
            <v>38</v>
          </cell>
          <cell r="V680" t="str">
            <v>42788820-665, 42789613-668, 42790542-672, 42791419-676, 42791891-680, 42792377-684, 42792947-689, 42793502-693, 42794059-698, 42788453-661, 42788967-666, 42789772-669, 42790654-673, 42791526-677, 42792008-681, 42792487-685, 42793065-690, 42793619-694, 42788576-662, 42790026-670, 42790978-674, 42791648-678, 42792131-682, 42792693-686, 42793187-691, 42793732-695, 42788657-663, 42789213-667, 42790298-671, 42791749-679, 42792260-683, 42792779-687, 42793829-696, 42788733-664, 42791221-675, 42792859-688, 42793339-692, 42793952-697</v>
          </cell>
        </row>
        <row r="681">
          <cell r="E681" t="str">
            <v>TPL/OI25</v>
          </cell>
          <cell r="F681">
            <v>1</v>
          </cell>
          <cell r="G681">
            <v>11.59</v>
          </cell>
          <cell r="H681">
            <v>11.59</v>
          </cell>
          <cell r="I681" t="str">
            <v>CRANBERRY</v>
          </cell>
          <cell r="J681" t="str">
            <v>Cranberry - Sliced</v>
          </cell>
          <cell r="K681"/>
          <cell r="L681"/>
          <cell r="M681" t="str">
            <v>Cranberry Slice</v>
          </cell>
          <cell r="N681" t="str">
            <v>CFPL</v>
          </cell>
          <cell r="O681" t="str">
            <v>W202</v>
          </cell>
          <cell r="P681" t="str">
            <v>TAJIR PRIVATE LIMITED</v>
          </cell>
          <cell r="Q681"/>
          <cell r="R681">
            <v>0</v>
          </cell>
          <cell r="S681">
            <v>60</v>
          </cell>
          <cell r="T681" t="str">
            <v>31-60 Days</v>
          </cell>
          <cell r="U681">
            <v>1</v>
          </cell>
          <cell r="V681" t="str">
            <v>42794210-699</v>
          </cell>
        </row>
        <row r="682">
          <cell r="E682"/>
          <cell r="F682">
            <v>114018</v>
          </cell>
          <cell r="G682"/>
          <cell r="H682">
            <v>987643.53</v>
          </cell>
          <cell r="I682"/>
          <cell r="J682"/>
          <cell r="K682"/>
          <cell r="L682"/>
          <cell r="M682"/>
          <cell r="N682"/>
          <cell r="O682"/>
          <cell r="P682"/>
          <cell r="Q682"/>
          <cell r="R682">
            <v>299701522.81</v>
          </cell>
          <cell r="S682"/>
          <cell r="T682"/>
          <cell r="U682">
            <v>108846</v>
          </cell>
          <cell r="V682"/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52"/>
  <sheetViews>
    <sheetView tabSelected="1" topLeftCell="P1" zoomScale="121" zoomScaleNormal="100" workbookViewId="0">
      <pane ySplit="1" topLeftCell="A170" activePane="bottomLeft" state="frozen"/>
      <selection pane="bottomLeft" activeCell="V181" sqref="V181"/>
    </sheetView>
  </sheetViews>
  <sheetFormatPr defaultColWidth="8.6640625" defaultRowHeight="14.4" x14ac:dyDescent="0.3"/>
  <cols>
    <col min="1" max="1" width="23.6640625" customWidth="1"/>
    <col min="2" max="2" width="8" customWidth="1"/>
    <col min="3" max="3" width="12" customWidth="1"/>
    <col min="4" max="4" width="10" customWidth="1"/>
    <col min="5" max="5" width="11" customWidth="1"/>
    <col min="6" max="6" width="12" customWidth="1"/>
    <col min="7" max="7" width="10" customWidth="1"/>
    <col min="8" max="8" width="14" customWidth="1"/>
    <col min="9" max="9" width="12" customWidth="1"/>
    <col min="10" max="10" width="14" customWidth="1"/>
    <col min="11" max="11" width="13" customWidth="1"/>
    <col min="12" max="12" width="18" customWidth="1"/>
    <col min="13" max="13" width="40" customWidth="1"/>
    <col min="14" max="14" width="11" customWidth="1"/>
    <col min="15" max="15" width="14" customWidth="1"/>
    <col min="16" max="16" width="22" customWidth="1"/>
    <col min="17" max="17" width="12" customWidth="1"/>
    <col min="18" max="18" width="14" customWidth="1"/>
    <col min="19" max="19" width="8" customWidth="1"/>
    <col min="20" max="20" width="14" customWidth="1"/>
    <col min="21" max="21" width="10" customWidth="1"/>
    <col min="22" max="22" width="73.44140625" bestFit="1" customWidth="1"/>
    <col min="23" max="23" width="24" customWidth="1"/>
  </cols>
  <sheetData>
    <row r="1" spans="1:23" ht="33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s="2">
        <v>45300</v>
      </c>
      <c r="B2" s="3" t="s">
        <v>23</v>
      </c>
      <c r="C2" s="3" t="s">
        <v>24</v>
      </c>
      <c r="D2" s="3" t="s">
        <v>25</v>
      </c>
      <c r="E2" s="3">
        <v>105768</v>
      </c>
      <c r="F2" s="4">
        <v>0</v>
      </c>
      <c r="G2" s="5">
        <v>20</v>
      </c>
      <c r="H2" s="5">
        <v>0</v>
      </c>
      <c r="I2" s="3" t="s">
        <v>1366</v>
      </c>
      <c r="J2" s="3" t="s">
        <v>1373</v>
      </c>
      <c r="K2" s="3" t="s">
        <v>25</v>
      </c>
      <c r="L2" s="3" t="s">
        <v>25</v>
      </c>
      <c r="M2" s="3" t="s">
        <v>26</v>
      </c>
      <c r="N2" s="3" t="s">
        <v>27</v>
      </c>
      <c r="O2" s="3" t="s">
        <v>23</v>
      </c>
      <c r="P2" s="3" t="s">
        <v>28</v>
      </c>
      <c r="Q2" s="6">
        <v>550</v>
      </c>
      <c r="R2" s="6">
        <v>0</v>
      </c>
      <c r="S2" s="4">
        <v>867</v>
      </c>
      <c r="T2" s="3" t="s">
        <v>29</v>
      </c>
      <c r="U2" s="4">
        <v>0</v>
      </c>
      <c r="V2" s="3" t="e">
        <f>VLOOKUP(E2,'[1]Consolidated Stock'!$E:$V,18,0)</f>
        <v>#N/A</v>
      </c>
      <c r="W2" s="3" t="s">
        <v>30</v>
      </c>
    </row>
    <row r="3" spans="1:23" x14ac:dyDescent="0.3">
      <c r="A3" s="7">
        <v>45372</v>
      </c>
      <c r="B3" s="8" t="s">
        <v>23</v>
      </c>
      <c r="C3" s="8" t="s">
        <v>24</v>
      </c>
      <c r="D3" s="8" t="s">
        <v>31</v>
      </c>
      <c r="E3" s="8">
        <v>107268</v>
      </c>
      <c r="F3" s="9">
        <v>49</v>
      </c>
      <c r="G3" s="10">
        <v>12</v>
      </c>
      <c r="H3" s="10">
        <v>588</v>
      </c>
      <c r="I3" s="8" t="s">
        <v>1366</v>
      </c>
      <c r="J3" s="8" t="s">
        <v>31</v>
      </c>
      <c r="K3" s="8" t="s">
        <v>32</v>
      </c>
      <c r="L3" s="8" t="s">
        <v>28</v>
      </c>
      <c r="M3" s="8" t="s">
        <v>33</v>
      </c>
      <c r="N3" s="8" t="s">
        <v>27</v>
      </c>
      <c r="O3" s="8" t="s">
        <v>23</v>
      </c>
      <c r="P3" s="8" t="s">
        <v>28</v>
      </c>
      <c r="Q3" s="11">
        <v>250</v>
      </c>
      <c r="R3" s="11">
        <v>147000</v>
      </c>
      <c r="S3" s="9">
        <v>795</v>
      </c>
      <c r="T3" s="8" t="s">
        <v>29</v>
      </c>
      <c r="U3" s="9">
        <v>49</v>
      </c>
      <c r="V3" s="8" t="s">
        <v>34</v>
      </c>
      <c r="W3" s="8" t="s">
        <v>35</v>
      </c>
    </row>
    <row r="4" spans="1:23" x14ac:dyDescent="0.3">
      <c r="A4" s="2">
        <v>45684</v>
      </c>
      <c r="B4" s="3" t="s">
        <v>23</v>
      </c>
      <c r="C4" s="3" t="s">
        <v>24</v>
      </c>
      <c r="D4" s="3"/>
      <c r="E4" s="3">
        <v>115342</v>
      </c>
      <c r="F4" s="4">
        <v>0</v>
      </c>
      <c r="G4" s="5">
        <v>20</v>
      </c>
      <c r="H4" s="5">
        <v>0</v>
      </c>
      <c r="I4" s="3" t="s">
        <v>1366</v>
      </c>
      <c r="J4" s="3" t="s">
        <v>1373</v>
      </c>
      <c r="K4" s="3" t="s">
        <v>25</v>
      </c>
      <c r="L4" s="3" t="s">
        <v>25</v>
      </c>
      <c r="M4" s="3" t="s">
        <v>26</v>
      </c>
      <c r="N4" s="3" t="s">
        <v>27</v>
      </c>
      <c r="O4" s="3" t="s">
        <v>23</v>
      </c>
      <c r="P4" s="3" t="s">
        <v>28</v>
      </c>
      <c r="Q4" s="6">
        <v>550</v>
      </c>
      <c r="R4" s="6">
        <v>0</v>
      </c>
      <c r="S4" s="4">
        <v>483</v>
      </c>
      <c r="T4" s="3" t="s">
        <v>36</v>
      </c>
      <c r="U4" s="4">
        <v>0</v>
      </c>
      <c r="V4" s="3" t="e">
        <f>VLOOKUP(E4,'[1]Consolidated Stock'!$E:$V,18,0)</f>
        <v>#N/A</v>
      </c>
      <c r="W4" s="3" t="s">
        <v>37</v>
      </c>
    </row>
    <row r="5" spans="1:23" x14ac:dyDescent="0.3">
      <c r="A5" s="2">
        <v>45762</v>
      </c>
      <c r="B5" s="3" t="s">
        <v>23</v>
      </c>
      <c r="C5" s="3" t="s">
        <v>24</v>
      </c>
      <c r="D5" s="3"/>
      <c r="E5" s="3">
        <v>117122</v>
      </c>
      <c r="F5" s="4">
        <v>0</v>
      </c>
      <c r="G5" s="5">
        <v>10</v>
      </c>
      <c r="H5" s="5">
        <v>0</v>
      </c>
      <c r="I5" s="3" t="s">
        <v>1366</v>
      </c>
      <c r="J5" s="3" t="s">
        <v>39</v>
      </c>
      <c r="K5" s="3" t="s">
        <v>39</v>
      </c>
      <c r="L5" s="3" t="s">
        <v>40</v>
      </c>
      <c r="M5" s="3" t="s">
        <v>41</v>
      </c>
      <c r="N5" s="3" t="s">
        <v>27</v>
      </c>
      <c r="O5" s="3" t="s">
        <v>23</v>
      </c>
      <c r="P5" s="3" t="s">
        <v>38</v>
      </c>
      <c r="Q5" s="6">
        <v>116</v>
      </c>
      <c r="R5" s="6">
        <v>0</v>
      </c>
      <c r="S5" s="4">
        <v>405</v>
      </c>
      <c r="T5" s="3" t="s">
        <v>36</v>
      </c>
      <c r="U5" s="4">
        <v>0</v>
      </c>
      <c r="V5" s="3" t="e">
        <f>VLOOKUP(E5,'[1]Consolidated Stock'!$E:$V,18,0)</f>
        <v>#N/A</v>
      </c>
      <c r="W5" s="3" t="s">
        <v>42</v>
      </c>
    </row>
    <row r="6" spans="1:23" x14ac:dyDescent="0.3">
      <c r="A6" s="7">
        <v>45774</v>
      </c>
      <c r="B6" s="8" t="s">
        <v>23</v>
      </c>
      <c r="C6" s="8" t="s">
        <v>24</v>
      </c>
      <c r="D6" s="8" t="s">
        <v>43</v>
      </c>
      <c r="E6" s="8">
        <v>117411</v>
      </c>
      <c r="F6" s="9">
        <v>0</v>
      </c>
      <c r="G6" s="10">
        <v>10</v>
      </c>
      <c r="H6" s="10">
        <v>0</v>
      </c>
      <c r="I6" s="8" t="s">
        <v>1366</v>
      </c>
      <c r="J6" s="8" t="s">
        <v>234</v>
      </c>
      <c r="K6" s="8" t="s">
        <v>44</v>
      </c>
      <c r="L6" s="8" t="s">
        <v>40</v>
      </c>
      <c r="M6" s="8" t="s">
        <v>45</v>
      </c>
      <c r="N6" s="8" t="s">
        <v>27</v>
      </c>
      <c r="O6" s="8" t="s">
        <v>23</v>
      </c>
      <c r="P6" s="8" t="s">
        <v>38</v>
      </c>
      <c r="Q6" s="11">
        <v>233</v>
      </c>
      <c r="R6" s="11">
        <v>0</v>
      </c>
      <c r="S6" s="9">
        <v>393</v>
      </c>
      <c r="T6" s="8" t="s">
        <v>36</v>
      </c>
      <c r="U6" s="9">
        <v>0</v>
      </c>
      <c r="V6" s="8" t="e">
        <f>VLOOKUP(E6,'[1]Consolidated Stock'!$E:$V,18,0)</f>
        <v>#N/A</v>
      </c>
      <c r="W6" s="8" t="s">
        <v>46</v>
      </c>
    </row>
    <row r="7" spans="1:23" x14ac:dyDescent="0.3">
      <c r="A7" s="2">
        <v>45775</v>
      </c>
      <c r="B7" s="3" t="s">
        <v>23</v>
      </c>
      <c r="C7" s="3" t="s">
        <v>24</v>
      </c>
      <c r="D7" s="3" t="s">
        <v>43</v>
      </c>
      <c r="E7" s="3">
        <v>117413</v>
      </c>
      <c r="F7" s="4">
        <v>82</v>
      </c>
      <c r="G7" s="5">
        <v>10</v>
      </c>
      <c r="H7" s="5">
        <v>820</v>
      </c>
      <c r="I7" s="3" t="s">
        <v>1366</v>
      </c>
      <c r="J7" s="3" t="s">
        <v>234</v>
      </c>
      <c r="K7" s="3" t="s">
        <v>44</v>
      </c>
      <c r="L7" s="3" t="s">
        <v>40</v>
      </c>
      <c r="M7" s="3" t="s">
        <v>45</v>
      </c>
      <c r="N7" s="3" t="s">
        <v>27</v>
      </c>
      <c r="O7" s="3" t="s">
        <v>23</v>
      </c>
      <c r="P7" s="3" t="s">
        <v>38</v>
      </c>
      <c r="Q7" s="6">
        <v>233</v>
      </c>
      <c r="R7" s="6">
        <v>191060</v>
      </c>
      <c r="S7" s="4">
        <v>392</v>
      </c>
      <c r="T7" s="3" t="s">
        <v>36</v>
      </c>
      <c r="U7" s="4">
        <v>82</v>
      </c>
      <c r="V7" s="3" t="s">
        <v>47</v>
      </c>
      <c r="W7" s="3" t="s">
        <v>48</v>
      </c>
    </row>
    <row r="8" spans="1:23" x14ac:dyDescent="0.3">
      <c r="A8" s="7">
        <v>45790</v>
      </c>
      <c r="B8" s="8" t="s">
        <v>23</v>
      </c>
      <c r="C8" s="8" t="s">
        <v>24</v>
      </c>
      <c r="D8" s="8"/>
      <c r="E8" s="8">
        <v>117833</v>
      </c>
      <c r="F8" s="9">
        <v>37</v>
      </c>
      <c r="G8" s="10">
        <v>10</v>
      </c>
      <c r="H8" s="10">
        <v>370</v>
      </c>
      <c r="I8" s="8" t="s">
        <v>1366</v>
      </c>
      <c r="J8" s="8" t="s">
        <v>31</v>
      </c>
      <c r="K8" s="8" t="s">
        <v>32</v>
      </c>
      <c r="L8" s="8" t="s">
        <v>31</v>
      </c>
      <c r="M8" s="8" t="s">
        <v>49</v>
      </c>
      <c r="N8" s="8" t="s">
        <v>27</v>
      </c>
      <c r="O8" s="8" t="s">
        <v>23</v>
      </c>
      <c r="P8" s="8" t="s">
        <v>50</v>
      </c>
      <c r="Q8" s="11">
        <v>241</v>
      </c>
      <c r="R8" s="11">
        <v>89170</v>
      </c>
      <c r="S8" s="9">
        <v>377</v>
      </c>
      <c r="T8" s="8" t="s">
        <v>36</v>
      </c>
      <c r="U8" s="9">
        <v>37</v>
      </c>
      <c r="V8" s="8" t="s">
        <v>51</v>
      </c>
      <c r="W8" s="8" t="s">
        <v>52</v>
      </c>
    </row>
    <row r="9" spans="1:23" x14ac:dyDescent="0.3">
      <c r="A9" s="7">
        <v>45845</v>
      </c>
      <c r="B9" s="8" t="s">
        <v>23</v>
      </c>
      <c r="C9" s="8" t="s">
        <v>24</v>
      </c>
      <c r="D9" s="8"/>
      <c r="E9" s="8">
        <v>119224</v>
      </c>
      <c r="F9" s="9">
        <v>1097</v>
      </c>
      <c r="G9" s="10">
        <v>5</v>
      </c>
      <c r="H9" s="10">
        <v>5485</v>
      </c>
      <c r="I9" s="8" t="s">
        <v>1366</v>
      </c>
      <c r="J9" s="8" t="s">
        <v>54</v>
      </c>
      <c r="K9" s="8" t="s">
        <v>54</v>
      </c>
      <c r="L9" s="8" t="s">
        <v>54</v>
      </c>
      <c r="M9" s="8" t="s">
        <v>55</v>
      </c>
      <c r="N9" s="8" t="s">
        <v>27</v>
      </c>
      <c r="O9" s="8" t="s">
        <v>23</v>
      </c>
      <c r="P9" s="8" t="s">
        <v>28</v>
      </c>
      <c r="Q9" s="11">
        <v>198</v>
      </c>
      <c r="R9" s="11">
        <v>1086030</v>
      </c>
      <c r="S9" s="9">
        <v>322</v>
      </c>
      <c r="T9" s="8" t="s">
        <v>53</v>
      </c>
      <c r="U9" s="9">
        <v>1097</v>
      </c>
      <c r="V9" s="8" t="s">
        <v>56</v>
      </c>
      <c r="W9" s="8" t="s">
        <v>57</v>
      </c>
    </row>
    <row r="10" spans="1:23" x14ac:dyDescent="0.3">
      <c r="A10" s="2">
        <v>45861</v>
      </c>
      <c r="B10" s="3" t="s">
        <v>23</v>
      </c>
      <c r="C10" s="3" t="s">
        <v>24</v>
      </c>
      <c r="D10" s="3"/>
      <c r="E10" s="3">
        <v>119639</v>
      </c>
      <c r="F10" s="4">
        <v>368</v>
      </c>
      <c r="G10" s="5">
        <v>5</v>
      </c>
      <c r="H10" s="5">
        <v>1840</v>
      </c>
      <c r="I10" s="3" t="s">
        <v>1366</v>
      </c>
      <c r="J10" s="3" t="s">
        <v>247</v>
      </c>
      <c r="K10" s="3" t="s">
        <v>58</v>
      </c>
      <c r="L10" s="3" t="s">
        <v>58</v>
      </c>
      <c r="M10" s="3" t="s">
        <v>59</v>
      </c>
      <c r="N10" s="3" t="s">
        <v>27</v>
      </c>
      <c r="O10" s="3" t="s">
        <v>23</v>
      </c>
      <c r="P10" s="3" t="s">
        <v>28</v>
      </c>
      <c r="Q10" s="6">
        <v>240</v>
      </c>
      <c r="R10" s="6">
        <v>441600</v>
      </c>
      <c r="S10" s="4">
        <v>306</v>
      </c>
      <c r="T10" s="3" t="s">
        <v>53</v>
      </c>
      <c r="U10" s="4">
        <v>368</v>
      </c>
      <c r="V10" s="3" t="s">
        <v>60</v>
      </c>
      <c r="W10" s="3" t="s">
        <v>61</v>
      </c>
    </row>
    <row r="11" spans="1:23" x14ac:dyDescent="0.3">
      <c r="A11" s="7">
        <v>45870</v>
      </c>
      <c r="B11" s="8" t="s">
        <v>23</v>
      </c>
      <c r="C11" s="8" t="s">
        <v>24</v>
      </c>
      <c r="D11" s="8"/>
      <c r="E11" s="8">
        <v>119869</v>
      </c>
      <c r="F11" s="9">
        <v>43.5</v>
      </c>
      <c r="G11" s="10">
        <v>10</v>
      </c>
      <c r="H11" s="10">
        <v>435</v>
      </c>
      <c r="I11" s="8" t="s">
        <v>1366</v>
      </c>
      <c r="J11" s="8" t="s">
        <v>63</v>
      </c>
      <c r="K11" s="8" t="s">
        <v>62</v>
      </c>
      <c r="L11" s="8" t="s">
        <v>63</v>
      </c>
      <c r="M11" s="8" t="s">
        <v>64</v>
      </c>
      <c r="N11" s="8" t="s">
        <v>27</v>
      </c>
      <c r="O11" s="8" t="s">
        <v>23</v>
      </c>
      <c r="P11" s="8" t="s">
        <v>38</v>
      </c>
      <c r="Q11" s="11">
        <v>126</v>
      </c>
      <c r="R11" s="11">
        <v>54810</v>
      </c>
      <c r="S11" s="9">
        <v>297</v>
      </c>
      <c r="T11" s="8" t="s">
        <v>53</v>
      </c>
      <c r="U11" s="9">
        <v>43.5</v>
      </c>
      <c r="V11" s="8" t="s">
        <v>65</v>
      </c>
      <c r="W11" s="8" t="s">
        <v>66</v>
      </c>
    </row>
    <row r="12" spans="1:23" x14ac:dyDescent="0.3">
      <c r="A12" s="2">
        <v>45892</v>
      </c>
      <c r="B12" s="3" t="s">
        <v>23</v>
      </c>
      <c r="C12" s="3" t="s">
        <v>24</v>
      </c>
      <c r="D12" s="3"/>
      <c r="E12" s="3">
        <v>120372</v>
      </c>
      <c r="F12" s="4">
        <v>25</v>
      </c>
      <c r="G12" s="5">
        <v>5</v>
      </c>
      <c r="H12" s="5">
        <v>125</v>
      </c>
      <c r="I12" s="3" t="s">
        <v>1366</v>
      </c>
      <c r="J12" s="3" t="s">
        <v>247</v>
      </c>
      <c r="K12" s="3" t="s">
        <v>58</v>
      </c>
      <c r="L12" s="3" t="s">
        <v>58</v>
      </c>
      <c r="M12" s="3" t="s">
        <v>59</v>
      </c>
      <c r="N12" s="3" t="s">
        <v>27</v>
      </c>
      <c r="O12" s="3" t="s">
        <v>23</v>
      </c>
      <c r="P12" s="3" t="s">
        <v>28</v>
      </c>
      <c r="Q12" s="6">
        <v>240</v>
      </c>
      <c r="R12" s="6">
        <v>30000</v>
      </c>
      <c r="S12" s="4">
        <v>275</v>
      </c>
      <c r="T12" s="3" t="s">
        <v>53</v>
      </c>
      <c r="U12" s="4">
        <v>25</v>
      </c>
      <c r="V12" s="3" t="s">
        <v>67</v>
      </c>
      <c r="W12" s="3" t="s">
        <v>68</v>
      </c>
    </row>
    <row r="13" spans="1:23" x14ac:dyDescent="0.3">
      <c r="A13" s="7">
        <v>45936</v>
      </c>
      <c r="B13" s="8" t="s">
        <v>23</v>
      </c>
      <c r="C13" s="8" t="s">
        <v>24</v>
      </c>
      <c r="D13" s="8" t="s">
        <v>69</v>
      </c>
      <c r="E13" s="8">
        <v>121432</v>
      </c>
      <c r="F13" s="9">
        <v>749</v>
      </c>
      <c r="G13" s="10">
        <v>10</v>
      </c>
      <c r="H13" s="10">
        <v>7490</v>
      </c>
      <c r="I13" s="8" t="s">
        <v>1366</v>
      </c>
      <c r="J13" s="8" t="s">
        <v>39</v>
      </c>
      <c r="K13" s="8" t="s">
        <v>70</v>
      </c>
      <c r="L13" s="8" t="s">
        <v>71</v>
      </c>
      <c r="M13" s="8" t="s">
        <v>41</v>
      </c>
      <c r="N13" s="8" t="s">
        <v>27</v>
      </c>
      <c r="O13" s="8" t="s">
        <v>23</v>
      </c>
      <c r="P13" s="8" t="s">
        <v>38</v>
      </c>
      <c r="Q13" s="11">
        <v>116</v>
      </c>
      <c r="R13" s="11">
        <v>868840</v>
      </c>
      <c r="S13" s="9">
        <v>231</v>
      </c>
      <c r="T13" s="8" t="s">
        <v>53</v>
      </c>
      <c r="U13" s="9">
        <v>749</v>
      </c>
      <c r="V13" s="8" t="s">
        <v>72</v>
      </c>
      <c r="W13" s="8" t="s">
        <v>73</v>
      </c>
    </row>
    <row r="14" spans="1:23" x14ac:dyDescent="0.3">
      <c r="A14" s="2">
        <v>45985</v>
      </c>
      <c r="B14" s="3" t="s">
        <v>23</v>
      </c>
      <c r="C14" s="3" t="s">
        <v>24</v>
      </c>
      <c r="D14" s="3"/>
      <c r="E14" s="3">
        <v>122755</v>
      </c>
      <c r="F14" s="4">
        <v>113</v>
      </c>
      <c r="G14" s="5">
        <v>5</v>
      </c>
      <c r="H14" s="5">
        <v>565</v>
      </c>
      <c r="I14" s="3" t="s">
        <v>1366</v>
      </c>
      <c r="J14" s="3" t="s">
        <v>1373</v>
      </c>
      <c r="K14" s="3" t="s">
        <v>25</v>
      </c>
      <c r="L14" s="3" t="s">
        <v>25</v>
      </c>
      <c r="M14" s="3" t="s">
        <v>26</v>
      </c>
      <c r="N14" s="3" t="s">
        <v>27</v>
      </c>
      <c r="O14" s="3" t="s">
        <v>23</v>
      </c>
      <c r="P14" s="3" t="s">
        <v>28</v>
      </c>
      <c r="Q14" s="6">
        <v>550</v>
      </c>
      <c r="R14" s="6">
        <v>310750</v>
      </c>
      <c r="S14" s="4">
        <v>182</v>
      </c>
      <c r="T14" s="3" t="s">
        <v>53</v>
      </c>
      <c r="U14" s="4">
        <v>113</v>
      </c>
      <c r="V14" s="3" t="s">
        <v>74</v>
      </c>
      <c r="W14" s="3" t="s">
        <v>75</v>
      </c>
    </row>
    <row r="15" spans="1:23" x14ac:dyDescent="0.3">
      <c r="A15" s="7">
        <v>45989</v>
      </c>
      <c r="B15" s="8" t="s">
        <v>23</v>
      </c>
      <c r="C15" s="8" t="s">
        <v>24</v>
      </c>
      <c r="D15" s="8"/>
      <c r="E15" s="8">
        <v>122909</v>
      </c>
      <c r="F15" s="9">
        <v>379</v>
      </c>
      <c r="G15" s="10">
        <v>5</v>
      </c>
      <c r="H15" s="10">
        <v>1895</v>
      </c>
      <c r="I15" s="8" t="s">
        <v>1366</v>
      </c>
      <c r="J15" s="8" t="s">
        <v>1400</v>
      </c>
      <c r="K15" s="8" t="s">
        <v>76</v>
      </c>
      <c r="L15" s="8" t="s">
        <v>77</v>
      </c>
      <c r="M15" s="8" t="s">
        <v>78</v>
      </c>
      <c r="N15" s="8" t="s">
        <v>27</v>
      </c>
      <c r="O15" s="8" t="s">
        <v>23</v>
      </c>
      <c r="P15" s="8" t="s">
        <v>28</v>
      </c>
      <c r="Q15" s="11">
        <v>105</v>
      </c>
      <c r="R15" s="11">
        <v>198975</v>
      </c>
      <c r="S15" s="9">
        <v>178</v>
      </c>
      <c r="T15" s="8" t="s">
        <v>79</v>
      </c>
      <c r="U15" s="9">
        <v>379</v>
      </c>
      <c r="V15" s="8" t="s">
        <v>80</v>
      </c>
      <c r="W15" s="8" t="s">
        <v>81</v>
      </c>
    </row>
    <row r="16" spans="1:23" x14ac:dyDescent="0.3">
      <c r="A16" s="2">
        <v>45999</v>
      </c>
      <c r="B16" s="3" t="s">
        <v>23</v>
      </c>
      <c r="C16" s="3" t="s">
        <v>24</v>
      </c>
      <c r="D16" s="3"/>
      <c r="E16" s="3">
        <v>123249</v>
      </c>
      <c r="F16" s="4">
        <v>119</v>
      </c>
      <c r="G16" s="5">
        <v>10</v>
      </c>
      <c r="H16" s="5">
        <v>1190</v>
      </c>
      <c r="I16" s="3" t="s">
        <v>1366</v>
      </c>
      <c r="J16" s="3" t="s">
        <v>63</v>
      </c>
      <c r="K16" s="3" t="s">
        <v>62</v>
      </c>
      <c r="L16" s="3" t="s">
        <v>63</v>
      </c>
      <c r="M16" s="3" t="s">
        <v>64</v>
      </c>
      <c r="N16" s="3" t="s">
        <v>27</v>
      </c>
      <c r="O16" s="3" t="s">
        <v>23</v>
      </c>
      <c r="P16" s="3" t="s">
        <v>38</v>
      </c>
      <c r="Q16" s="6">
        <v>126</v>
      </c>
      <c r="R16" s="6">
        <v>149940</v>
      </c>
      <c r="S16" s="4">
        <v>168</v>
      </c>
      <c r="T16" s="3" t="s">
        <v>79</v>
      </c>
      <c r="U16" s="4">
        <v>119</v>
      </c>
      <c r="V16" s="3" t="s">
        <v>82</v>
      </c>
      <c r="W16" s="3" t="s">
        <v>83</v>
      </c>
    </row>
    <row r="17" spans="1:23" x14ac:dyDescent="0.3">
      <c r="A17" s="7">
        <v>46000</v>
      </c>
      <c r="B17" s="8" t="s">
        <v>23</v>
      </c>
      <c r="C17" s="8" t="s">
        <v>24</v>
      </c>
      <c r="D17" s="8"/>
      <c r="E17" s="8">
        <v>123292</v>
      </c>
      <c r="F17" s="9">
        <v>142</v>
      </c>
      <c r="G17" s="10">
        <v>6.8</v>
      </c>
      <c r="H17" s="10">
        <v>965.6</v>
      </c>
      <c r="I17" s="8" t="s">
        <v>1366</v>
      </c>
      <c r="J17" s="8" t="s">
        <v>247</v>
      </c>
      <c r="K17" s="8" t="s">
        <v>58</v>
      </c>
      <c r="L17" s="8" t="s">
        <v>84</v>
      </c>
      <c r="M17" s="8" t="s">
        <v>59</v>
      </c>
      <c r="N17" s="8" t="s">
        <v>27</v>
      </c>
      <c r="O17" s="8" t="s">
        <v>23</v>
      </c>
      <c r="P17" s="8" t="s">
        <v>28</v>
      </c>
      <c r="Q17" s="11">
        <v>198</v>
      </c>
      <c r="R17" s="11">
        <v>191188.8</v>
      </c>
      <c r="S17" s="9">
        <v>167</v>
      </c>
      <c r="T17" s="8" t="s">
        <v>79</v>
      </c>
      <c r="U17" s="9">
        <v>142</v>
      </c>
      <c r="V17" s="8" t="s">
        <v>85</v>
      </c>
      <c r="W17" s="8" t="s">
        <v>86</v>
      </c>
    </row>
    <row r="18" spans="1:23" x14ac:dyDescent="0.3">
      <c r="A18" s="2">
        <v>46000</v>
      </c>
      <c r="B18" s="3" t="s">
        <v>23</v>
      </c>
      <c r="C18" s="3" t="s">
        <v>24</v>
      </c>
      <c r="D18" s="3"/>
      <c r="E18" s="3">
        <v>123294</v>
      </c>
      <c r="F18" s="4">
        <v>28</v>
      </c>
      <c r="G18" s="5">
        <v>5</v>
      </c>
      <c r="H18" s="5">
        <v>140</v>
      </c>
      <c r="I18" s="3" t="s">
        <v>1366</v>
      </c>
      <c r="J18" s="3" t="s">
        <v>87</v>
      </c>
      <c r="K18" s="3" t="s">
        <v>87</v>
      </c>
      <c r="L18" s="3" t="s">
        <v>40</v>
      </c>
      <c r="M18" s="3" t="s">
        <v>88</v>
      </c>
      <c r="N18" s="3" t="s">
        <v>27</v>
      </c>
      <c r="O18" s="3" t="s">
        <v>23</v>
      </c>
      <c r="P18" s="3" t="s">
        <v>28</v>
      </c>
      <c r="Q18" s="6">
        <v>675</v>
      </c>
      <c r="R18" s="6">
        <v>94500</v>
      </c>
      <c r="S18" s="4">
        <v>167</v>
      </c>
      <c r="T18" s="3" t="s">
        <v>79</v>
      </c>
      <c r="U18" s="4">
        <v>28</v>
      </c>
      <c r="V18" s="3" t="s">
        <v>89</v>
      </c>
      <c r="W18" s="3" t="s">
        <v>90</v>
      </c>
    </row>
    <row r="19" spans="1:23" x14ac:dyDescent="0.3">
      <c r="A19" s="7">
        <v>46000</v>
      </c>
      <c r="B19" s="8" t="s">
        <v>23</v>
      </c>
      <c r="C19" s="8" t="s">
        <v>24</v>
      </c>
      <c r="D19" s="8"/>
      <c r="E19" s="8">
        <v>123295</v>
      </c>
      <c r="F19" s="9">
        <v>2</v>
      </c>
      <c r="G19" s="10">
        <v>15</v>
      </c>
      <c r="H19" s="10">
        <v>30</v>
      </c>
      <c r="I19" s="8" t="s">
        <v>1366</v>
      </c>
      <c r="J19" s="8" t="s">
        <v>91</v>
      </c>
      <c r="K19" s="8" t="s">
        <v>91</v>
      </c>
      <c r="L19" s="8" t="s">
        <v>91</v>
      </c>
      <c r="M19" s="8" t="s">
        <v>92</v>
      </c>
      <c r="N19" s="8" t="s">
        <v>27</v>
      </c>
      <c r="O19" s="8" t="s">
        <v>23</v>
      </c>
      <c r="P19" s="8" t="s">
        <v>28</v>
      </c>
      <c r="Q19" s="11">
        <v>990</v>
      </c>
      <c r="R19" s="11">
        <v>29700</v>
      </c>
      <c r="S19" s="9">
        <v>167</v>
      </c>
      <c r="T19" s="8" t="s">
        <v>79</v>
      </c>
      <c r="U19" s="9">
        <v>2</v>
      </c>
      <c r="V19" s="8" t="s">
        <v>93</v>
      </c>
      <c r="W19" s="8" t="s">
        <v>94</v>
      </c>
    </row>
    <row r="20" spans="1:23" x14ac:dyDescent="0.3">
      <c r="A20" s="2">
        <v>46000</v>
      </c>
      <c r="B20" s="3" t="s">
        <v>23</v>
      </c>
      <c r="C20" s="3" t="s">
        <v>24</v>
      </c>
      <c r="D20" s="3"/>
      <c r="E20" s="3">
        <v>123296</v>
      </c>
      <c r="F20" s="4">
        <v>3</v>
      </c>
      <c r="G20" s="5">
        <v>5</v>
      </c>
      <c r="H20" s="5">
        <v>15</v>
      </c>
      <c r="I20" s="3" t="s">
        <v>1366</v>
      </c>
      <c r="J20" s="3" t="s">
        <v>1400</v>
      </c>
      <c r="K20" s="3" t="s">
        <v>76</v>
      </c>
      <c r="L20" s="3" t="s">
        <v>77</v>
      </c>
      <c r="M20" s="3" t="s">
        <v>78</v>
      </c>
      <c r="N20" s="3" t="s">
        <v>27</v>
      </c>
      <c r="O20" s="3" t="s">
        <v>23</v>
      </c>
      <c r="P20" s="3" t="s">
        <v>28</v>
      </c>
      <c r="Q20" s="6">
        <v>105</v>
      </c>
      <c r="R20" s="6">
        <v>1575</v>
      </c>
      <c r="S20" s="4">
        <v>167</v>
      </c>
      <c r="T20" s="3" t="s">
        <v>79</v>
      </c>
      <c r="U20" s="4">
        <v>3</v>
      </c>
      <c r="V20" s="3" t="s">
        <v>95</v>
      </c>
      <c r="W20" s="3" t="s">
        <v>96</v>
      </c>
    </row>
    <row r="21" spans="1:23" x14ac:dyDescent="0.3">
      <c r="A21" s="7">
        <v>46001</v>
      </c>
      <c r="B21" s="8" t="s">
        <v>23</v>
      </c>
      <c r="C21" s="8" t="s">
        <v>24</v>
      </c>
      <c r="D21" s="8"/>
      <c r="E21" s="8">
        <v>123327</v>
      </c>
      <c r="F21" s="9">
        <v>109</v>
      </c>
      <c r="G21" s="10">
        <v>10</v>
      </c>
      <c r="H21" s="10">
        <v>1090</v>
      </c>
      <c r="I21" s="8" t="s">
        <v>1366</v>
      </c>
      <c r="J21" s="8" t="s">
        <v>234</v>
      </c>
      <c r="K21" s="8" t="s">
        <v>97</v>
      </c>
      <c r="L21" s="8" t="s">
        <v>63</v>
      </c>
      <c r="M21" s="8" t="s">
        <v>98</v>
      </c>
      <c r="N21" s="8" t="s">
        <v>27</v>
      </c>
      <c r="O21" s="8" t="s">
        <v>23</v>
      </c>
      <c r="P21" s="8" t="s">
        <v>38</v>
      </c>
      <c r="Q21" s="11">
        <v>230</v>
      </c>
      <c r="R21" s="11">
        <v>250700</v>
      </c>
      <c r="S21" s="9">
        <v>166</v>
      </c>
      <c r="T21" s="8" t="s">
        <v>79</v>
      </c>
      <c r="U21" s="9">
        <v>109</v>
      </c>
      <c r="V21" s="8" t="s">
        <v>99</v>
      </c>
      <c r="W21" s="8" t="s">
        <v>100</v>
      </c>
    </row>
    <row r="22" spans="1:23" x14ac:dyDescent="0.3">
      <c r="A22" s="2">
        <v>46002</v>
      </c>
      <c r="B22" s="3" t="s">
        <v>23</v>
      </c>
      <c r="C22" s="3" t="s">
        <v>24</v>
      </c>
      <c r="D22" s="3"/>
      <c r="E22" s="3">
        <v>123364</v>
      </c>
      <c r="F22" s="4">
        <v>52</v>
      </c>
      <c r="G22" s="5">
        <v>10</v>
      </c>
      <c r="H22" s="5">
        <v>520</v>
      </c>
      <c r="I22" s="3" t="s">
        <v>1366</v>
      </c>
      <c r="J22" s="3" t="s">
        <v>63</v>
      </c>
      <c r="K22" s="3" t="s">
        <v>62</v>
      </c>
      <c r="L22" s="3" t="s">
        <v>63</v>
      </c>
      <c r="M22" s="3" t="s">
        <v>64</v>
      </c>
      <c r="N22" s="3" t="s">
        <v>27</v>
      </c>
      <c r="O22" s="3" t="s">
        <v>23</v>
      </c>
      <c r="P22" s="3" t="s">
        <v>38</v>
      </c>
      <c r="Q22" s="6">
        <v>126</v>
      </c>
      <c r="R22" s="6">
        <v>65520</v>
      </c>
      <c r="S22" s="4">
        <v>165</v>
      </c>
      <c r="T22" s="3" t="s">
        <v>79</v>
      </c>
      <c r="U22" s="4">
        <v>52</v>
      </c>
      <c r="V22" s="3" t="s">
        <v>101</v>
      </c>
      <c r="W22" s="3" t="s">
        <v>102</v>
      </c>
    </row>
    <row r="23" spans="1:23" x14ac:dyDescent="0.3">
      <c r="A23" s="7">
        <v>46002</v>
      </c>
      <c r="B23" s="8" t="s">
        <v>23</v>
      </c>
      <c r="C23" s="8" t="s">
        <v>24</v>
      </c>
      <c r="D23" s="8"/>
      <c r="E23" s="8">
        <v>123365</v>
      </c>
      <c r="F23" s="9">
        <v>55</v>
      </c>
      <c r="G23" s="10">
        <v>5</v>
      </c>
      <c r="H23" s="10">
        <v>275</v>
      </c>
      <c r="I23" s="8" t="s">
        <v>1366</v>
      </c>
      <c r="J23" s="8" t="s">
        <v>234</v>
      </c>
      <c r="K23" s="8" t="s">
        <v>97</v>
      </c>
      <c r="L23" s="8" t="s">
        <v>63</v>
      </c>
      <c r="M23" s="8" t="s">
        <v>98</v>
      </c>
      <c r="N23" s="8" t="s">
        <v>27</v>
      </c>
      <c r="O23" s="8" t="s">
        <v>23</v>
      </c>
      <c r="P23" s="8" t="s">
        <v>38</v>
      </c>
      <c r="Q23" s="11">
        <v>230</v>
      </c>
      <c r="R23" s="11">
        <v>63250</v>
      </c>
      <c r="S23" s="9">
        <v>165</v>
      </c>
      <c r="T23" s="8" t="s">
        <v>79</v>
      </c>
      <c r="U23" s="9">
        <v>55</v>
      </c>
      <c r="V23" s="8" t="s">
        <v>103</v>
      </c>
      <c r="W23" s="8" t="s">
        <v>104</v>
      </c>
    </row>
    <row r="24" spans="1:23" x14ac:dyDescent="0.3">
      <c r="A24" s="2">
        <v>46002</v>
      </c>
      <c r="B24" s="3" t="s">
        <v>23</v>
      </c>
      <c r="C24" s="3" t="s">
        <v>24</v>
      </c>
      <c r="D24" s="3"/>
      <c r="E24" s="3">
        <v>123366</v>
      </c>
      <c r="F24" s="4">
        <v>73</v>
      </c>
      <c r="G24" s="5">
        <v>10</v>
      </c>
      <c r="H24" s="5">
        <v>730</v>
      </c>
      <c r="I24" s="3" t="s">
        <v>1366</v>
      </c>
      <c r="J24" s="3" t="s">
        <v>234</v>
      </c>
      <c r="K24" s="3" t="s">
        <v>97</v>
      </c>
      <c r="L24" s="3" t="s">
        <v>63</v>
      </c>
      <c r="M24" s="3" t="s">
        <v>98</v>
      </c>
      <c r="N24" s="3" t="s">
        <v>27</v>
      </c>
      <c r="O24" s="3" t="s">
        <v>23</v>
      </c>
      <c r="P24" s="3" t="s">
        <v>38</v>
      </c>
      <c r="Q24" s="6">
        <v>230</v>
      </c>
      <c r="R24" s="6">
        <v>167900</v>
      </c>
      <c r="S24" s="4">
        <v>165</v>
      </c>
      <c r="T24" s="3" t="s">
        <v>79</v>
      </c>
      <c r="U24" s="4">
        <v>73</v>
      </c>
      <c r="V24" s="3" t="s">
        <v>105</v>
      </c>
      <c r="W24" s="3" t="s">
        <v>106</v>
      </c>
    </row>
    <row r="25" spans="1:23" x14ac:dyDescent="0.3">
      <c r="A25" s="7">
        <v>46009</v>
      </c>
      <c r="B25" s="8" t="s">
        <v>23</v>
      </c>
      <c r="C25" s="8" t="s">
        <v>24</v>
      </c>
      <c r="D25" s="8"/>
      <c r="E25" s="8">
        <v>123591</v>
      </c>
      <c r="F25" s="9">
        <v>0</v>
      </c>
      <c r="G25" s="10">
        <v>10</v>
      </c>
      <c r="H25" s="10">
        <v>0</v>
      </c>
      <c r="I25" s="8" t="s">
        <v>1366</v>
      </c>
      <c r="J25" s="8" t="s">
        <v>107</v>
      </c>
      <c r="K25" s="8" t="s">
        <v>107</v>
      </c>
      <c r="L25" s="8" t="s">
        <v>107</v>
      </c>
      <c r="M25" s="8" t="s">
        <v>108</v>
      </c>
      <c r="N25" s="8" t="s">
        <v>27</v>
      </c>
      <c r="O25" s="8" t="s">
        <v>23</v>
      </c>
      <c r="P25" s="8" t="s">
        <v>28</v>
      </c>
      <c r="Q25" s="11">
        <v>115</v>
      </c>
      <c r="R25" s="11">
        <v>0</v>
      </c>
      <c r="S25" s="9">
        <v>158</v>
      </c>
      <c r="T25" s="8" t="s">
        <v>79</v>
      </c>
      <c r="U25" s="9">
        <v>0</v>
      </c>
      <c r="V25" s="8" t="e">
        <f>VLOOKUP(E25,'[1]Consolidated Stock'!$E:$V,18,0)</f>
        <v>#N/A</v>
      </c>
      <c r="W25" s="8" t="s">
        <v>109</v>
      </c>
    </row>
    <row r="26" spans="1:23" x14ac:dyDescent="0.3">
      <c r="A26" s="2">
        <v>46011</v>
      </c>
      <c r="B26" s="3" t="s">
        <v>23</v>
      </c>
      <c r="C26" s="3" t="s">
        <v>24</v>
      </c>
      <c r="D26" s="3"/>
      <c r="E26" s="3">
        <v>123688</v>
      </c>
      <c r="F26" s="4">
        <v>0</v>
      </c>
      <c r="G26" s="5">
        <v>10</v>
      </c>
      <c r="H26" s="5">
        <v>0</v>
      </c>
      <c r="I26" s="3" t="s">
        <v>1366</v>
      </c>
      <c r="J26" s="3" t="s">
        <v>39</v>
      </c>
      <c r="K26" s="3" t="s">
        <v>39</v>
      </c>
      <c r="L26" s="3" t="s">
        <v>110</v>
      </c>
      <c r="M26" s="3" t="s">
        <v>111</v>
      </c>
      <c r="N26" s="3" t="s">
        <v>27</v>
      </c>
      <c r="O26" s="3" t="s">
        <v>23</v>
      </c>
      <c r="P26" s="3" t="s">
        <v>38</v>
      </c>
      <c r="Q26" s="6">
        <v>116</v>
      </c>
      <c r="R26" s="6">
        <v>0</v>
      </c>
      <c r="S26" s="4">
        <v>156</v>
      </c>
      <c r="T26" s="3" t="s">
        <v>79</v>
      </c>
      <c r="U26" s="4">
        <v>0</v>
      </c>
      <c r="V26" s="3" t="e">
        <f>VLOOKUP(E26,'[1]Consolidated Stock'!$E:$V,18,0)</f>
        <v>#N/A</v>
      </c>
      <c r="W26" s="3" t="s">
        <v>112</v>
      </c>
    </row>
    <row r="27" spans="1:23" x14ac:dyDescent="0.3">
      <c r="A27" s="7">
        <v>46016</v>
      </c>
      <c r="B27" s="8" t="s">
        <v>23</v>
      </c>
      <c r="C27" s="8" t="s">
        <v>24</v>
      </c>
      <c r="D27" s="8"/>
      <c r="E27" s="8">
        <v>123887</v>
      </c>
      <c r="F27" s="9">
        <v>50</v>
      </c>
      <c r="G27" s="10">
        <v>10</v>
      </c>
      <c r="H27" s="10">
        <v>500</v>
      </c>
      <c r="I27" s="8" t="s">
        <v>1366</v>
      </c>
      <c r="J27" s="8" t="s">
        <v>63</v>
      </c>
      <c r="K27" s="8" t="s">
        <v>62</v>
      </c>
      <c r="L27" s="8" t="s">
        <v>63</v>
      </c>
      <c r="M27" s="8" t="s">
        <v>64</v>
      </c>
      <c r="N27" s="8" t="s">
        <v>27</v>
      </c>
      <c r="O27" s="8" t="s">
        <v>23</v>
      </c>
      <c r="P27" s="8" t="s">
        <v>38</v>
      </c>
      <c r="Q27" s="11">
        <v>126</v>
      </c>
      <c r="R27" s="11">
        <v>63000</v>
      </c>
      <c r="S27" s="9">
        <v>151</v>
      </c>
      <c r="T27" s="8" t="s">
        <v>79</v>
      </c>
      <c r="U27" s="9">
        <v>50</v>
      </c>
      <c r="V27" s="8" t="s">
        <v>113</v>
      </c>
      <c r="W27" s="8" t="s">
        <v>114</v>
      </c>
    </row>
    <row r="28" spans="1:23" x14ac:dyDescent="0.3">
      <c r="A28" s="2">
        <v>46017</v>
      </c>
      <c r="B28" s="3" t="s">
        <v>23</v>
      </c>
      <c r="C28" s="3" t="s">
        <v>24</v>
      </c>
      <c r="D28" s="3"/>
      <c r="E28" s="3">
        <v>123936</v>
      </c>
      <c r="F28" s="4">
        <v>400</v>
      </c>
      <c r="G28" s="5">
        <v>6</v>
      </c>
      <c r="H28" s="5">
        <v>2400</v>
      </c>
      <c r="I28" s="3" t="s">
        <v>1366</v>
      </c>
      <c r="J28" s="3" t="s">
        <v>247</v>
      </c>
      <c r="K28" s="3" t="s">
        <v>115</v>
      </c>
      <c r="L28" s="3" t="s">
        <v>116</v>
      </c>
      <c r="M28" s="3" t="s">
        <v>59</v>
      </c>
      <c r="N28" s="3" t="s">
        <v>27</v>
      </c>
      <c r="O28" s="3" t="s">
        <v>23</v>
      </c>
      <c r="P28" s="3" t="s">
        <v>28</v>
      </c>
      <c r="Q28" s="6">
        <v>199</v>
      </c>
      <c r="R28" s="6">
        <v>477600</v>
      </c>
      <c r="S28" s="4">
        <v>150</v>
      </c>
      <c r="T28" s="3" t="s">
        <v>79</v>
      </c>
      <c r="U28" s="4">
        <v>400</v>
      </c>
      <c r="V28" s="3" t="s">
        <v>117</v>
      </c>
      <c r="W28" s="3" t="s">
        <v>118</v>
      </c>
    </row>
    <row r="29" spans="1:23" x14ac:dyDescent="0.3">
      <c r="A29" s="7">
        <v>46030</v>
      </c>
      <c r="B29" s="8" t="s">
        <v>23</v>
      </c>
      <c r="C29" s="8" t="s">
        <v>24</v>
      </c>
      <c r="D29" s="8"/>
      <c r="E29" s="8">
        <v>124409</v>
      </c>
      <c r="F29" s="9">
        <v>264</v>
      </c>
      <c r="G29" s="10">
        <v>6</v>
      </c>
      <c r="H29" s="10">
        <v>1584</v>
      </c>
      <c r="I29" s="8" t="s">
        <v>1366</v>
      </c>
      <c r="J29" s="8" t="s">
        <v>247</v>
      </c>
      <c r="K29" s="8" t="s">
        <v>115</v>
      </c>
      <c r="L29" s="8" t="s">
        <v>116</v>
      </c>
      <c r="M29" s="8" t="s">
        <v>59</v>
      </c>
      <c r="N29" s="8" t="s">
        <v>27</v>
      </c>
      <c r="O29" s="8" t="s">
        <v>23</v>
      </c>
      <c r="P29" s="8" t="s">
        <v>28</v>
      </c>
      <c r="Q29" s="11">
        <v>199</v>
      </c>
      <c r="R29" s="11">
        <v>315216</v>
      </c>
      <c r="S29" s="9">
        <v>137</v>
      </c>
      <c r="T29" s="8" t="s">
        <v>79</v>
      </c>
      <c r="U29" s="9">
        <v>264</v>
      </c>
      <c r="V29" s="8" t="s">
        <v>119</v>
      </c>
      <c r="W29" s="8" t="s">
        <v>120</v>
      </c>
    </row>
    <row r="30" spans="1:23" x14ac:dyDescent="0.3">
      <c r="A30" s="2">
        <v>46044</v>
      </c>
      <c r="B30" s="3" t="s">
        <v>23</v>
      </c>
      <c r="C30" s="3" t="s">
        <v>24</v>
      </c>
      <c r="D30" s="3"/>
      <c r="E30" s="3">
        <v>124679</v>
      </c>
      <c r="F30" s="4">
        <v>1912</v>
      </c>
      <c r="G30" s="5">
        <v>10</v>
      </c>
      <c r="H30" s="5">
        <v>19120</v>
      </c>
      <c r="I30" s="3" t="s">
        <v>1366</v>
      </c>
      <c r="J30" s="3" t="s">
        <v>121</v>
      </c>
      <c r="K30" s="3" t="s">
        <v>121</v>
      </c>
      <c r="L30" s="3" t="s">
        <v>121</v>
      </c>
      <c r="M30" s="3" t="s">
        <v>122</v>
      </c>
      <c r="N30" s="3" t="s">
        <v>27</v>
      </c>
      <c r="O30" s="3" t="s">
        <v>23</v>
      </c>
      <c r="P30" s="3" t="s">
        <v>123</v>
      </c>
      <c r="Q30" s="6">
        <v>100</v>
      </c>
      <c r="R30" s="6">
        <v>1912000</v>
      </c>
      <c r="S30" s="4">
        <v>123</v>
      </c>
      <c r="T30" s="3" t="s">
        <v>79</v>
      </c>
      <c r="U30" s="4">
        <v>1912</v>
      </c>
      <c r="V30" s="3" t="s">
        <v>124</v>
      </c>
      <c r="W30" s="3" t="s">
        <v>125</v>
      </c>
    </row>
    <row r="31" spans="1:23" x14ac:dyDescent="0.3">
      <c r="A31" s="7">
        <v>46056</v>
      </c>
      <c r="B31" s="8" t="s">
        <v>23</v>
      </c>
      <c r="C31" s="8" t="s">
        <v>24</v>
      </c>
      <c r="D31" s="8"/>
      <c r="E31" s="8">
        <v>124994</v>
      </c>
      <c r="F31" s="9">
        <v>88</v>
      </c>
      <c r="G31" s="10">
        <v>10</v>
      </c>
      <c r="H31" s="10">
        <v>880</v>
      </c>
      <c r="I31" s="8" t="s">
        <v>1366</v>
      </c>
      <c r="J31" s="8" t="s">
        <v>39</v>
      </c>
      <c r="K31" s="8" t="s">
        <v>39</v>
      </c>
      <c r="L31" s="8" t="s">
        <v>126</v>
      </c>
      <c r="M31" s="8" t="s">
        <v>127</v>
      </c>
      <c r="N31" s="8" t="s">
        <v>27</v>
      </c>
      <c r="O31" s="8" t="s">
        <v>23</v>
      </c>
      <c r="P31" s="8" t="s">
        <v>28</v>
      </c>
      <c r="Q31" s="11">
        <v>116</v>
      </c>
      <c r="R31" s="11">
        <v>102080</v>
      </c>
      <c r="S31" s="9">
        <v>111</v>
      </c>
      <c r="T31" s="8" t="s">
        <v>79</v>
      </c>
      <c r="U31" s="9">
        <v>88</v>
      </c>
      <c r="V31" s="8" t="s">
        <v>128</v>
      </c>
      <c r="W31" s="8" t="s">
        <v>129</v>
      </c>
    </row>
    <row r="32" spans="1:23" x14ac:dyDescent="0.3">
      <c r="A32" s="2">
        <v>46062</v>
      </c>
      <c r="B32" s="3" t="s">
        <v>23</v>
      </c>
      <c r="C32" s="3" t="s">
        <v>24</v>
      </c>
      <c r="D32" s="3"/>
      <c r="E32" s="3">
        <v>125165</v>
      </c>
      <c r="F32" s="4">
        <v>6</v>
      </c>
      <c r="G32" s="5">
        <v>10</v>
      </c>
      <c r="H32" s="5">
        <v>60</v>
      </c>
      <c r="I32" s="3" t="s">
        <v>1366</v>
      </c>
      <c r="J32" s="3" t="s">
        <v>54</v>
      </c>
      <c r="K32" s="3" t="s">
        <v>54</v>
      </c>
      <c r="L32" s="3" t="s">
        <v>126</v>
      </c>
      <c r="M32" s="3" t="s">
        <v>55</v>
      </c>
      <c r="N32" s="3" t="s">
        <v>27</v>
      </c>
      <c r="O32" s="3" t="s">
        <v>23</v>
      </c>
      <c r="P32" s="3" t="s">
        <v>28</v>
      </c>
      <c r="Q32" s="6">
        <v>191</v>
      </c>
      <c r="R32" s="6">
        <v>11460</v>
      </c>
      <c r="S32" s="4">
        <v>105</v>
      </c>
      <c r="T32" s="3" t="s">
        <v>79</v>
      </c>
      <c r="U32" s="4">
        <v>6</v>
      </c>
      <c r="V32" s="3" t="s">
        <v>130</v>
      </c>
      <c r="W32" s="3" t="s">
        <v>131</v>
      </c>
    </row>
    <row r="33" spans="1:23" x14ac:dyDescent="0.3">
      <c r="A33" s="7">
        <v>46066</v>
      </c>
      <c r="B33" s="8" t="s">
        <v>23</v>
      </c>
      <c r="C33" s="8" t="s">
        <v>24</v>
      </c>
      <c r="D33" s="8"/>
      <c r="E33" s="8">
        <v>125276</v>
      </c>
      <c r="F33" s="9">
        <v>994</v>
      </c>
      <c r="G33" s="10">
        <v>10</v>
      </c>
      <c r="H33" s="10">
        <v>9940</v>
      </c>
      <c r="I33" s="8" t="s">
        <v>1366</v>
      </c>
      <c r="J33" s="8" t="s">
        <v>234</v>
      </c>
      <c r="K33" s="8" t="s">
        <v>132</v>
      </c>
      <c r="L33" s="8" t="s">
        <v>133</v>
      </c>
      <c r="M33" s="8" t="s">
        <v>45</v>
      </c>
      <c r="N33" s="8" t="s">
        <v>27</v>
      </c>
      <c r="O33" s="8" t="s">
        <v>23</v>
      </c>
      <c r="P33" s="8" t="s">
        <v>38</v>
      </c>
      <c r="Q33" s="11">
        <v>233</v>
      </c>
      <c r="R33" s="11">
        <v>2316020</v>
      </c>
      <c r="S33" s="9">
        <v>101</v>
      </c>
      <c r="T33" s="8" t="s">
        <v>79</v>
      </c>
      <c r="U33" s="9">
        <v>994</v>
      </c>
      <c r="V33" s="8" t="s">
        <v>134</v>
      </c>
      <c r="W33" s="8" t="s">
        <v>135</v>
      </c>
    </row>
    <row r="34" spans="1:23" x14ac:dyDescent="0.3">
      <c r="A34" s="2">
        <v>46068</v>
      </c>
      <c r="B34" s="3" t="s">
        <v>23</v>
      </c>
      <c r="C34" s="3" t="s">
        <v>24</v>
      </c>
      <c r="D34" s="3"/>
      <c r="E34" s="3">
        <v>125320</v>
      </c>
      <c r="F34" s="4">
        <v>810</v>
      </c>
      <c r="G34" s="5">
        <v>5</v>
      </c>
      <c r="H34" s="5">
        <v>4050</v>
      </c>
      <c r="I34" s="3" t="s">
        <v>1366</v>
      </c>
      <c r="J34" s="3" t="s">
        <v>1400</v>
      </c>
      <c r="K34" s="3" t="s">
        <v>76</v>
      </c>
      <c r="L34" s="3" t="s">
        <v>77</v>
      </c>
      <c r="M34" s="3" t="s">
        <v>78</v>
      </c>
      <c r="N34" s="3" t="s">
        <v>27</v>
      </c>
      <c r="O34" s="3" t="s">
        <v>23</v>
      </c>
      <c r="P34" s="3" t="s">
        <v>28</v>
      </c>
      <c r="Q34" s="6">
        <v>96</v>
      </c>
      <c r="R34" s="6">
        <v>388800</v>
      </c>
      <c r="S34" s="4">
        <v>99</v>
      </c>
      <c r="T34" s="3" t="s">
        <v>79</v>
      </c>
      <c r="U34" s="4">
        <v>810</v>
      </c>
      <c r="V34" s="3" t="s">
        <v>136</v>
      </c>
      <c r="W34" s="3" t="s">
        <v>137</v>
      </c>
    </row>
    <row r="35" spans="1:23" x14ac:dyDescent="0.3">
      <c r="A35" s="7">
        <v>46070</v>
      </c>
      <c r="B35" s="8" t="s">
        <v>23</v>
      </c>
      <c r="C35" s="8" t="s">
        <v>24</v>
      </c>
      <c r="D35" s="8"/>
      <c r="E35" s="8">
        <v>125397</v>
      </c>
      <c r="F35" s="9">
        <v>83</v>
      </c>
      <c r="G35" s="10">
        <v>5</v>
      </c>
      <c r="H35" s="10">
        <v>415</v>
      </c>
      <c r="I35" s="8" t="s">
        <v>1366</v>
      </c>
      <c r="J35" s="8" t="s">
        <v>63</v>
      </c>
      <c r="K35" s="8" t="s">
        <v>138</v>
      </c>
      <c r="L35" s="8" t="s">
        <v>139</v>
      </c>
      <c r="M35" s="8" t="s">
        <v>138</v>
      </c>
      <c r="N35" s="8" t="s">
        <v>27</v>
      </c>
      <c r="O35" s="8" t="s">
        <v>23</v>
      </c>
      <c r="P35" s="8" t="s">
        <v>28</v>
      </c>
      <c r="Q35" s="11">
        <v>126</v>
      </c>
      <c r="R35" s="11">
        <v>52290</v>
      </c>
      <c r="S35" s="9">
        <v>97</v>
      </c>
      <c r="T35" s="8" t="s">
        <v>79</v>
      </c>
      <c r="U35" s="9">
        <v>83</v>
      </c>
      <c r="V35" s="8" t="s">
        <v>140</v>
      </c>
      <c r="W35" s="8" t="s">
        <v>141</v>
      </c>
    </row>
    <row r="36" spans="1:23" x14ac:dyDescent="0.3">
      <c r="A36" s="2">
        <v>46070</v>
      </c>
      <c r="B36" s="3" t="s">
        <v>23</v>
      </c>
      <c r="C36" s="3" t="s">
        <v>24</v>
      </c>
      <c r="D36" s="3"/>
      <c r="E36" s="3">
        <v>125398</v>
      </c>
      <c r="F36" s="4">
        <v>41</v>
      </c>
      <c r="G36" s="5">
        <v>10</v>
      </c>
      <c r="H36" s="5">
        <v>410</v>
      </c>
      <c r="I36" s="3" t="s">
        <v>1366</v>
      </c>
      <c r="J36" s="3" t="s">
        <v>234</v>
      </c>
      <c r="K36" s="3" t="s">
        <v>97</v>
      </c>
      <c r="L36" s="3" t="s">
        <v>63</v>
      </c>
      <c r="M36" s="3" t="s">
        <v>98</v>
      </c>
      <c r="N36" s="3" t="s">
        <v>27</v>
      </c>
      <c r="O36" s="3" t="s">
        <v>23</v>
      </c>
      <c r="P36" s="3" t="s">
        <v>38</v>
      </c>
      <c r="Q36" s="6">
        <v>230</v>
      </c>
      <c r="R36" s="6">
        <v>94300</v>
      </c>
      <c r="S36" s="4">
        <v>97</v>
      </c>
      <c r="T36" s="3" t="s">
        <v>79</v>
      </c>
      <c r="U36" s="4">
        <v>41</v>
      </c>
      <c r="V36" s="3" t="s">
        <v>142</v>
      </c>
      <c r="W36" s="3" t="s">
        <v>143</v>
      </c>
    </row>
    <row r="37" spans="1:23" x14ac:dyDescent="0.3">
      <c r="A37" s="7">
        <v>46071</v>
      </c>
      <c r="B37" s="8" t="s">
        <v>23</v>
      </c>
      <c r="C37" s="8" t="s">
        <v>24</v>
      </c>
      <c r="D37" s="8"/>
      <c r="E37" s="8">
        <v>125419</v>
      </c>
      <c r="F37" s="9">
        <v>200</v>
      </c>
      <c r="G37" s="10">
        <v>10</v>
      </c>
      <c r="H37" s="10">
        <v>2000</v>
      </c>
      <c r="I37" s="8" t="s">
        <v>1366</v>
      </c>
      <c r="J37" s="8" t="s">
        <v>63</v>
      </c>
      <c r="K37" s="8" t="s">
        <v>62</v>
      </c>
      <c r="L37" s="8" t="s">
        <v>63</v>
      </c>
      <c r="M37" s="8" t="s">
        <v>64</v>
      </c>
      <c r="N37" s="8" t="s">
        <v>27</v>
      </c>
      <c r="O37" s="8" t="s">
        <v>23</v>
      </c>
      <c r="P37" s="8" t="s">
        <v>38</v>
      </c>
      <c r="Q37" s="11">
        <v>126</v>
      </c>
      <c r="R37" s="11">
        <v>252000</v>
      </c>
      <c r="S37" s="9">
        <v>96</v>
      </c>
      <c r="T37" s="8" t="s">
        <v>79</v>
      </c>
      <c r="U37" s="9">
        <v>200</v>
      </c>
      <c r="V37" s="8" t="s">
        <v>144</v>
      </c>
      <c r="W37" s="8" t="s">
        <v>145</v>
      </c>
    </row>
    <row r="38" spans="1:23" x14ac:dyDescent="0.3">
      <c r="A38" s="2">
        <v>46072</v>
      </c>
      <c r="B38" s="3" t="s">
        <v>23</v>
      </c>
      <c r="C38" s="3" t="s">
        <v>24</v>
      </c>
      <c r="D38" s="3"/>
      <c r="E38" s="3">
        <v>125478</v>
      </c>
      <c r="F38" s="4">
        <v>1419</v>
      </c>
      <c r="G38" s="5">
        <v>10</v>
      </c>
      <c r="H38" s="5">
        <v>14190</v>
      </c>
      <c r="I38" s="3" t="s">
        <v>1366</v>
      </c>
      <c r="J38" s="3" t="s">
        <v>234</v>
      </c>
      <c r="K38" s="3" t="s">
        <v>146</v>
      </c>
      <c r="L38" s="3" t="s">
        <v>147</v>
      </c>
      <c r="M38" s="3" t="s">
        <v>148</v>
      </c>
      <c r="N38" s="3" t="s">
        <v>27</v>
      </c>
      <c r="O38" s="3" t="s">
        <v>23</v>
      </c>
      <c r="P38" s="3" t="s">
        <v>38</v>
      </c>
      <c r="Q38" s="6">
        <v>230</v>
      </c>
      <c r="R38" s="6">
        <v>3263700</v>
      </c>
      <c r="S38" s="4">
        <v>95</v>
      </c>
      <c r="T38" s="3" t="s">
        <v>79</v>
      </c>
      <c r="U38" s="4">
        <v>1419</v>
      </c>
      <c r="V38" s="3" t="s">
        <v>149</v>
      </c>
      <c r="W38" s="3" t="s">
        <v>150</v>
      </c>
    </row>
    <row r="39" spans="1:23" x14ac:dyDescent="0.3">
      <c r="A39" s="7">
        <v>46072</v>
      </c>
      <c r="B39" s="8" t="s">
        <v>23</v>
      </c>
      <c r="C39" s="8" t="s">
        <v>24</v>
      </c>
      <c r="D39" s="8"/>
      <c r="E39" s="8">
        <v>125483</v>
      </c>
      <c r="F39" s="9">
        <v>0</v>
      </c>
      <c r="G39" s="10">
        <v>7.5</v>
      </c>
      <c r="H39" s="10">
        <v>0</v>
      </c>
      <c r="I39" s="8" t="s">
        <v>1366</v>
      </c>
      <c r="J39" s="8" t="s">
        <v>247</v>
      </c>
      <c r="K39" s="8" t="s">
        <v>151</v>
      </c>
      <c r="L39" s="8" t="s">
        <v>116</v>
      </c>
      <c r="M39" s="8" t="s">
        <v>152</v>
      </c>
      <c r="N39" s="8" t="s">
        <v>27</v>
      </c>
      <c r="O39" s="8" t="s">
        <v>23</v>
      </c>
      <c r="P39" s="8" t="s">
        <v>153</v>
      </c>
      <c r="Q39" s="11">
        <v>300</v>
      </c>
      <c r="R39" s="11">
        <v>0</v>
      </c>
      <c r="S39" s="9">
        <v>95</v>
      </c>
      <c r="T39" s="8" t="s">
        <v>79</v>
      </c>
      <c r="U39" s="9">
        <v>0</v>
      </c>
      <c r="V39" s="8" t="e">
        <f>VLOOKUP(E39,'[1]Consolidated Stock'!$E:$V,18,0)</f>
        <v>#N/A</v>
      </c>
      <c r="W39" s="8" t="s">
        <v>154</v>
      </c>
    </row>
    <row r="40" spans="1:23" x14ac:dyDescent="0.3">
      <c r="A40" s="2">
        <v>46074</v>
      </c>
      <c r="B40" s="3" t="s">
        <v>23</v>
      </c>
      <c r="C40" s="3" t="s">
        <v>24</v>
      </c>
      <c r="D40" s="3"/>
      <c r="E40" s="3">
        <v>125491</v>
      </c>
      <c r="F40" s="4">
        <v>74</v>
      </c>
      <c r="G40" s="5">
        <v>10</v>
      </c>
      <c r="H40" s="5">
        <v>740</v>
      </c>
      <c r="I40" s="3" t="s">
        <v>1366</v>
      </c>
      <c r="J40" s="3" t="s">
        <v>63</v>
      </c>
      <c r="K40" s="3" t="s">
        <v>62</v>
      </c>
      <c r="L40" s="3" t="s">
        <v>63</v>
      </c>
      <c r="M40" s="3" t="s">
        <v>64</v>
      </c>
      <c r="N40" s="3" t="s">
        <v>27</v>
      </c>
      <c r="O40" s="3" t="s">
        <v>23</v>
      </c>
      <c r="P40" s="3" t="s">
        <v>38</v>
      </c>
      <c r="Q40" s="6">
        <v>126</v>
      </c>
      <c r="R40" s="6">
        <v>93240</v>
      </c>
      <c r="S40" s="4">
        <v>93</v>
      </c>
      <c r="T40" s="3" t="s">
        <v>79</v>
      </c>
      <c r="U40" s="4">
        <v>74</v>
      </c>
      <c r="V40" s="3" t="s">
        <v>155</v>
      </c>
      <c r="W40" s="3" t="s">
        <v>156</v>
      </c>
    </row>
    <row r="41" spans="1:23" x14ac:dyDescent="0.3">
      <c r="A41" s="7">
        <v>46074</v>
      </c>
      <c r="B41" s="8" t="s">
        <v>23</v>
      </c>
      <c r="C41" s="8" t="s">
        <v>24</v>
      </c>
      <c r="D41" s="8"/>
      <c r="E41" s="8">
        <v>125506</v>
      </c>
      <c r="F41" s="9">
        <v>39</v>
      </c>
      <c r="G41" s="10">
        <v>10</v>
      </c>
      <c r="H41" s="10">
        <v>390</v>
      </c>
      <c r="I41" s="8" t="s">
        <v>1366</v>
      </c>
      <c r="J41" s="8" t="s">
        <v>63</v>
      </c>
      <c r="K41" s="8" t="s">
        <v>62</v>
      </c>
      <c r="L41" s="8" t="s">
        <v>63</v>
      </c>
      <c r="M41" s="8" t="s">
        <v>64</v>
      </c>
      <c r="N41" s="8" t="s">
        <v>27</v>
      </c>
      <c r="O41" s="8" t="s">
        <v>23</v>
      </c>
      <c r="P41" s="8" t="s">
        <v>38</v>
      </c>
      <c r="Q41" s="11">
        <v>126</v>
      </c>
      <c r="R41" s="11">
        <v>49140</v>
      </c>
      <c r="S41" s="9">
        <v>93</v>
      </c>
      <c r="T41" s="8" t="s">
        <v>79</v>
      </c>
      <c r="U41" s="9">
        <v>39</v>
      </c>
      <c r="V41" s="8" t="s">
        <v>157</v>
      </c>
      <c r="W41" s="8" t="s">
        <v>158</v>
      </c>
    </row>
    <row r="42" spans="1:23" x14ac:dyDescent="0.3">
      <c r="A42" s="2">
        <v>46074</v>
      </c>
      <c r="B42" s="3" t="s">
        <v>23</v>
      </c>
      <c r="C42" s="3" t="s">
        <v>24</v>
      </c>
      <c r="D42" s="3"/>
      <c r="E42" s="3">
        <v>125606</v>
      </c>
      <c r="F42" s="4">
        <v>50</v>
      </c>
      <c r="G42" s="5">
        <v>20</v>
      </c>
      <c r="H42" s="5">
        <v>1000</v>
      </c>
      <c r="I42" s="3" t="s">
        <v>1366</v>
      </c>
      <c r="J42" s="3" t="s">
        <v>63</v>
      </c>
      <c r="K42" s="3" t="s">
        <v>62</v>
      </c>
      <c r="L42" s="3" t="s">
        <v>63</v>
      </c>
      <c r="M42" s="3" t="s">
        <v>64</v>
      </c>
      <c r="N42" s="3" t="s">
        <v>27</v>
      </c>
      <c r="O42" s="3" t="s">
        <v>23</v>
      </c>
      <c r="P42" s="3" t="s">
        <v>38</v>
      </c>
      <c r="Q42" s="6">
        <v>126</v>
      </c>
      <c r="R42" s="6">
        <v>126000</v>
      </c>
      <c r="S42" s="4">
        <v>93</v>
      </c>
      <c r="T42" s="3" t="s">
        <v>79</v>
      </c>
      <c r="U42" s="4">
        <v>50</v>
      </c>
      <c r="V42" s="3" t="s">
        <v>159</v>
      </c>
      <c r="W42" s="3" t="s">
        <v>160</v>
      </c>
    </row>
    <row r="43" spans="1:23" x14ac:dyDescent="0.3">
      <c r="A43" s="7">
        <v>46077</v>
      </c>
      <c r="B43" s="8" t="s">
        <v>23</v>
      </c>
      <c r="C43" s="8" t="s">
        <v>24</v>
      </c>
      <c r="D43" s="8"/>
      <c r="E43" s="8">
        <v>125609</v>
      </c>
      <c r="F43" s="9">
        <v>1127</v>
      </c>
      <c r="G43" s="10">
        <v>5</v>
      </c>
      <c r="H43" s="10">
        <v>5635</v>
      </c>
      <c r="I43" s="8" t="s">
        <v>1366</v>
      </c>
      <c r="J43" s="8" t="s">
        <v>1401</v>
      </c>
      <c r="K43" s="8" t="s">
        <v>161</v>
      </c>
      <c r="L43" s="8" t="s">
        <v>162</v>
      </c>
      <c r="M43" s="8" t="s">
        <v>163</v>
      </c>
      <c r="N43" s="8" t="s">
        <v>27</v>
      </c>
      <c r="O43" s="8" t="s">
        <v>23</v>
      </c>
      <c r="P43" s="8" t="s">
        <v>28</v>
      </c>
      <c r="Q43" s="11">
        <v>490</v>
      </c>
      <c r="R43" s="11">
        <v>2761150</v>
      </c>
      <c r="S43" s="9">
        <v>90</v>
      </c>
      <c r="T43" s="8" t="s">
        <v>79</v>
      </c>
      <c r="U43" s="9">
        <v>1127</v>
      </c>
      <c r="V43" s="8" t="s">
        <v>164</v>
      </c>
      <c r="W43" s="8" t="s">
        <v>165</v>
      </c>
    </row>
    <row r="44" spans="1:23" x14ac:dyDescent="0.3">
      <c r="A44" s="2">
        <v>46078</v>
      </c>
      <c r="B44" s="3" t="s">
        <v>23</v>
      </c>
      <c r="C44" s="3" t="s">
        <v>24</v>
      </c>
      <c r="D44" s="3"/>
      <c r="E44" s="3">
        <v>125621</v>
      </c>
      <c r="F44" s="4">
        <v>519</v>
      </c>
      <c r="G44" s="5">
        <v>10</v>
      </c>
      <c r="H44" s="5">
        <v>5190</v>
      </c>
      <c r="I44" s="3" t="s">
        <v>1366</v>
      </c>
      <c r="J44" s="3" t="s">
        <v>63</v>
      </c>
      <c r="K44" s="3" t="s">
        <v>166</v>
      </c>
      <c r="L44" s="3" t="s">
        <v>167</v>
      </c>
      <c r="M44" s="3" t="s">
        <v>64</v>
      </c>
      <c r="N44" s="3" t="s">
        <v>27</v>
      </c>
      <c r="O44" s="3" t="s">
        <v>23</v>
      </c>
      <c r="P44" s="3" t="s">
        <v>38</v>
      </c>
      <c r="Q44" s="6">
        <v>126</v>
      </c>
      <c r="R44" s="6">
        <v>653940</v>
      </c>
      <c r="S44" s="4">
        <v>89</v>
      </c>
      <c r="T44" s="3" t="s">
        <v>79</v>
      </c>
      <c r="U44" s="4">
        <v>519</v>
      </c>
      <c r="V44" s="3" t="s">
        <v>168</v>
      </c>
      <c r="W44" s="3" t="s">
        <v>169</v>
      </c>
    </row>
    <row r="45" spans="1:23" x14ac:dyDescent="0.3">
      <c r="A45" s="7">
        <v>46078</v>
      </c>
      <c r="B45" s="8" t="s">
        <v>23</v>
      </c>
      <c r="C45" s="8" t="s">
        <v>24</v>
      </c>
      <c r="D45" s="8"/>
      <c r="E45" s="8">
        <v>125633</v>
      </c>
      <c r="F45" s="9">
        <v>200</v>
      </c>
      <c r="G45" s="10">
        <v>10</v>
      </c>
      <c r="H45" s="10">
        <v>2000</v>
      </c>
      <c r="I45" s="8" t="s">
        <v>1366</v>
      </c>
      <c r="J45" s="8" t="s">
        <v>63</v>
      </c>
      <c r="K45" s="8" t="s">
        <v>62</v>
      </c>
      <c r="L45" s="8" t="s">
        <v>63</v>
      </c>
      <c r="M45" s="8" t="s">
        <v>64</v>
      </c>
      <c r="N45" s="8" t="s">
        <v>27</v>
      </c>
      <c r="O45" s="8" t="s">
        <v>23</v>
      </c>
      <c r="P45" s="8" t="s">
        <v>38</v>
      </c>
      <c r="Q45" s="11">
        <v>126</v>
      </c>
      <c r="R45" s="11">
        <v>252000</v>
      </c>
      <c r="S45" s="9">
        <v>89</v>
      </c>
      <c r="T45" s="8" t="s">
        <v>79</v>
      </c>
      <c r="U45" s="9">
        <v>200</v>
      </c>
      <c r="V45" s="8" t="s">
        <v>170</v>
      </c>
      <c r="W45" s="8" t="s">
        <v>171</v>
      </c>
    </row>
    <row r="46" spans="1:23" x14ac:dyDescent="0.3">
      <c r="A46" s="2">
        <v>46078</v>
      </c>
      <c r="B46" s="3" t="s">
        <v>23</v>
      </c>
      <c r="C46" s="3" t="s">
        <v>24</v>
      </c>
      <c r="D46" s="3"/>
      <c r="E46" s="3">
        <v>125655</v>
      </c>
      <c r="F46" s="4">
        <v>15</v>
      </c>
      <c r="G46" s="5">
        <v>5</v>
      </c>
      <c r="H46" s="5">
        <v>75</v>
      </c>
      <c r="I46" s="3" t="s">
        <v>1366</v>
      </c>
      <c r="J46" s="3" t="s">
        <v>1373</v>
      </c>
      <c r="K46" s="3" t="s">
        <v>25</v>
      </c>
      <c r="L46" s="3" t="s">
        <v>153</v>
      </c>
      <c r="M46" s="3" t="s">
        <v>26</v>
      </c>
      <c r="N46" s="3" t="s">
        <v>27</v>
      </c>
      <c r="O46" s="3" t="s">
        <v>23</v>
      </c>
      <c r="P46" s="3" t="s">
        <v>28</v>
      </c>
      <c r="Q46" s="6">
        <v>550</v>
      </c>
      <c r="R46" s="6">
        <v>41250</v>
      </c>
      <c r="S46" s="4">
        <v>89</v>
      </c>
      <c r="T46" s="3" t="s">
        <v>79</v>
      </c>
      <c r="U46" s="4">
        <v>15</v>
      </c>
      <c r="V46" s="3" t="s">
        <v>172</v>
      </c>
      <c r="W46" s="3" t="s">
        <v>173</v>
      </c>
    </row>
    <row r="47" spans="1:23" x14ac:dyDescent="0.3">
      <c r="A47" s="7">
        <v>46082</v>
      </c>
      <c r="B47" s="8" t="s">
        <v>23</v>
      </c>
      <c r="C47" s="8" t="s">
        <v>24</v>
      </c>
      <c r="D47" s="8"/>
      <c r="E47" s="8">
        <v>125730</v>
      </c>
      <c r="F47" s="9">
        <v>2388</v>
      </c>
      <c r="G47" s="10">
        <v>10</v>
      </c>
      <c r="H47" s="10">
        <v>23880</v>
      </c>
      <c r="I47" s="8" t="s">
        <v>1366</v>
      </c>
      <c r="J47" s="8" t="s">
        <v>234</v>
      </c>
      <c r="K47" s="8" t="s">
        <v>146</v>
      </c>
      <c r="L47" s="8" t="s">
        <v>147</v>
      </c>
      <c r="M47" s="8" t="s">
        <v>148</v>
      </c>
      <c r="N47" s="8" t="s">
        <v>27</v>
      </c>
      <c r="O47" s="8" t="s">
        <v>23</v>
      </c>
      <c r="P47" s="8" t="s">
        <v>38</v>
      </c>
      <c r="Q47" s="11">
        <v>230</v>
      </c>
      <c r="R47" s="11">
        <v>5492400</v>
      </c>
      <c r="S47" s="9">
        <v>85</v>
      </c>
      <c r="T47" s="8" t="s">
        <v>79</v>
      </c>
      <c r="U47" s="9">
        <v>2388</v>
      </c>
      <c r="V47" s="8" t="s">
        <v>174</v>
      </c>
      <c r="W47" s="8" t="s">
        <v>175</v>
      </c>
    </row>
    <row r="48" spans="1:23" x14ac:dyDescent="0.3">
      <c r="A48" s="2">
        <v>46086</v>
      </c>
      <c r="B48" s="3" t="s">
        <v>23</v>
      </c>
      <c r="C48" s="3" t="s">
        <v>24</v>
      </c>
      <c r="D48" s="3"/>
      <c r="E48" s="3">
        <v>125805</v>
      </c>
      <c r="F48" s="4">
        <v>37</v>
      </c>
      <c r="G48" s="5">
        <v>6</v>
      </c>
      <c r="H48" s="5">
        <v>222</v>
      </c>
      <c r="I48" s="3" t="s">
        <v>1366</v>
      </c>
      <c r="J48" s="3" t="s">
        <v>247</v>
      </c>
      <c r="K48" s="3" t="s">
        <v>176</v>
      </c>
      <c r="L48" s="3" t="s">
        <v>116</v>
      </c>
      <c r="M48" s="3" t="s">
        <v>177</v>
      </c>
      <c r="N48" s="3" t="s">
        <v>27</v>
      </c>
      <c r="O48" s="3" t="s">
        <v>23</v>
      </c>
      <c r="P48" s="3" t="s">
        <v>153</v>
      </c>
      <c r="Q48" s="6">
        <v>260</v>
      </c>
      <c r="R48" s="6">
        <v>57720</v>
      </c>
      <c r="S48" s="4">
        <v>81</v>
      </c>
      <c r="T48" s="3" t="s">
        <v>79</v>
      </c>
      <c r="U48" s="4">
        <v>37</v>
      </c>
      <c r="V48" s="3" t="s">
        <v>178</v>
      </c>
      <c r="W48" s="3" t="s">
        <v>179</v>
      </c>
    </row>
    <row r="49" spans="1:23" x14ac:dyDescent="0.3">
      <c r="A49" s="7">
        <v>46088</v>
      </c>
      <c r="B49" s="8" t="s">
        <v>23</v>
      </c>
      <c r="C49" s="8" t="s">
        <v>24</v>
      </c>
      <c r="D49" s="8"/>
      <c r="E49" s="8">
        <v>125836</v>
      </c>
      <c r="F49" s="9">
        <v>409</v>
      </c>
      <c r="G49" s="10">
        <v>10</v>
      </c>
      <c r="H49" s="10">
        <v>4090</v>
      </c>
      <c r="I49" s="8" t="s">
        <v>1366</v>
      </c>
      <c r="J49" s="8" t="s">
        <v>39</v>
      </c>
      <c r="K49" s="8" t="s">
        <v>180</v>
      </c>
      <c r="L49" s="8" t="s">
        <v>126</v>
      </c>
      <c r="M49" s="8" t="s">
        <v>127</v>
      </c>
      <c r="N49" s="8" t="s">
        <v>27</v>
      </c>
      <c r="O49" s="8" t="s">
        <v>23</v>
      </c>
      <c r="P49" s="8" t="s">
        <v>28</v>
      </c>
      <c r="Q49" s="11">
        <v>110</v>
      </c>
      <c r="R49" s="11">
        <v>449900</v>
      </c>
      <c r="S49" s="9">
        <v>79</v>
      </c>
      <c r="T49" s="8" t="s">
        <v>79</v>
      </c>
      <c r="U49" s="9">
        <v>409</v>
      </c>
      <c r="V49" s="8" t="s">
        <v>181</v>
      </c>
      <c r="W49" s="8" t="s">
        <v>182</v>
      </c>
    </row>
    <row r="50" spans="1:23" x14ac:dyDescent="0.3">
      <c r="A50" s="2">
        <v>46088</v>
      </c>
      <c r="B50" s="3" t="s">
        <v>23</v>
      </c>
      <c r="C50" s="3" t="s">
        <v>24</v>
      </c>
      <c r="D50" s="3"/>
      <c r="E50" s="3">
        <v>125859</v>
      </c>
      <c r="F50" s="4">
        <v>66</v>
      </c>
      <c r="G50" s="5">
        <v>7.5</v>
      </c>
      <c r="H50" s="5">
        <v>495</v>
      </c>
      <c r="I50" s="3" t="s">
        <v>1366</v>
      </c>
      <c r="J50" s="3" t="s">
        <v>247</v>
      </c>
      <c r="K50" s="3" t="s">
        <v>151</v>
      </c>
      <c r="L50" s="3" t="s">
        <v>116</v>
      </c>
      <c r="M50" s="3" t="s">
        <v>152</v>
      </c>
      <c r="N50" s="3" t="s">
        <v>27</v>
      </c>
      <c r="O50" s="3" t="s">
        <v>23</v>
      </c>
      <c r="P50" s="3" t="s">
        <v>153</v>
      </c>
      <c r="Q50" s="6">
        <v>300</v>
      </c>
      <c r="R50" s="6">
        <v>148500</v>
      </c>
      <c r="S50" s="4">
        <v>79</v>
      </c>
      <c r="T50" s="3" t="s">
        <v>79</v>
      </c>
      <c r="U50" s="4">
        <v>66</v>
      </c>
      <c r="V50" s="3" t="s">
        <v>183</v>
      </c>
      <c r="W50" s="3" t="s">
        <v>184</v>
      </c>
    </row>
    <row r="51" spans="1:23" x14ac:dyDescent="0.3">
      <c r="A51" s="7">
        <v>46088</v>
      </c>
      <c r="B51" s="8" t="s">
        <v>23</v>
      </c>
      <c r="C51" s="8" t="s">
        <v>24</v>
      </c>
      <c r="D51" s="8"/>
      <c r="E51" s="8">
        <v>125859</v>
      </c>
      <c r="F51" s="9">
        <v>1</v>
      </c>
      <c r="G51" s="10">
        <v>5</v>
      </c>
      <c r="H51" s="10">
        <v>5</v>
      </c>
      <c r="I51" s="8" t="s">
        <v>1366</v>
      </c>
      <c r="J51" s="8" t="s">
        <v>247</v>
      </c>
      <c r="K51" s="8" t="s">
        <v>151</v>
      </c>
      <c r="L51" s="8" t="s">
        <v>116</v>
      </c>
      <c r="M51" s="8" t="s">
        <v>152</v>
      </c>
      <c r="N51" s="8" t="s">
        <v>27</v>
      </c>
      <c r="O51" s="8" t="s">
        <v>23</v>
      </c>
      <c r="P51" s="8" t="s">
        <v>153</v>
      </c>
      <c r="Q51" s="11">
        <v>300</v>
      </c>
      <c r="R51" s="11">
        <v>1500</v>
      </c>
      <c r="S51" s="9">
        <v>79</v>
      </c>
      <c r="T51" s="8" t="s">
        <v>79</v>
      </c>
      <c r="U51" s="9">
        <v>1</v>
      </c>
      <c r="V51" s="8" t="s">
        <v>186</v>
      </c>
      <c r="W51" s="8" t="s">
        <v>185</v>
      </c>
    </row>
    <row r="52" spans="1:23" x14ac:dyDescent="0.3">
      <c r="A52" s="2">
        <v>46088</v>
      </c>
      <c r="B52" s="3" t="s">
        <v>23</v>
      </c>
      <c r="C52" s="3" t="s">
        <v>24</v>
      </c>
      <c r="D52" s="3"/>
      <c r="E52" s="3">
        <v>125860</v>
      </c>
      <c r="F52" s="4">
        <v>35</v>
      </c>
      <c r="G52" s="5">
        <v>6</v>
      </c>
      <c r="H52" s="5">
        <v>210</v>
      </c>
      <c r="I52" s="3" t="s">
        <v>1366</v>
      </c>
      <c r="J52" s="3" t="s">
        <v>247</v>
      </c>
      <c r="K52" s="3" t="s">
        <v>176</v>
      </c>
      <c r="L52" s="3" t="s">
        <v>116</v>
      </c>
      <c r="M52" s="3" t="s">
        <v>177</v>
      </c>
      <c r="N52" s="3" t="s">
        <v>27</v>
      </c>
      <c r="O52" s="3" t="s">
        <v>23</v>
      </c>
      <c r="P52" s="3" t="s">
        <v>153</v>
      </c>
      <c r="Q52" s="6">
        <v>260</v>
      </c>
      <c r="R52" s="6">
        <v>54600</v>
      </c>
      <c r="S52" s="4">
        <v>79</v>
      </c>
      <c r="T52" s="3" t="s">
        <v>79</v>
      </c>
      <c r="U52" s="4">
        <v>35</v>
      </c>
      <c r="V52" s="3" t="s">
        <v>187</v>
      </c>
      <c r="W52" s="3" t="s">
        <v>188</v>
      </c>
    </row>
    <row r="53" spans="1:23" x14ac:dyDescent="0.3">
      <c r="A53" s="7">
        <v>46088</v>
      </c>
      <c r="B53" s="8" t="s">
        <v>23</v>
      </c>
      <c r="C53" s="8" t="s">
        <v>24</v>
      </c>
      <c r="D53" s="8"/>
      <c r="E53" s="8">
        <v>125863</v>
      </c>
      <c r="F53" s="9">
        <v>0</v>
      </c>
      <c r="G53" s="10">
        <v>10</v>
      </c>
      <c r="H53" s="10">
        <v>0</v>
      </c>
      <c r="I53" s="8" t="s">
        <v>1366</v>
      </c>
      <c r="J53" s="8" t="s">
        <v>234</v>
      </c>
      <c r="K53" s="8" t="s">
        <v>189</v>
      </c>
      <c r="L53" s="8" t="s">
        <v>190</v>
      </c>
      <c r="M53" s="8" t="s">
        <v>191</v>
      </c>
      <c r="N53" s="8" t="s">
        <v>27</v>
      </c>
      <c r="O53" s="8" t="s">
        <v>23</v>
      </c>
      <c r="P53" s="8" t="s">
        <v>38</v>
      </c>
      <c r="Q53" s="11">
        <v>190</v>
      </c>
      <c r="R53" s="11">
        <v>0</v>
      </c>
      <c r="S53" s="9">
        <v>79</v>
      </c>
      <c r="T53" s="8" t="s">
        <v>79</v>
      </c>
      <c r="U53" s="9">
        <v>0</v>
      </c>
      <c r="V53" s="8" t="e">
        <f>VLOOKUP(E53,'[1]Consolidated Stock'!$E:$V,18,0)</f>
        <v>#N/A</v>
      </c>
      <c r="W53" s="8" t="s">
        <v>192</v>
      </c>
    </row>
    <row r="54" spans="1:23" x14ac:dyDescent="0.3">
      <c r="A54" s="2">
        <v>46088</v>
      </c>
      <c r="B54" s="3" t="s">
        <v>23</v>
      </c>
      <c r="C54" s="3" t="s">
        <v>24</v>
      </c>
      <c r="D54" s="3"/>
      <c r="E54" s="3">
        <v>125864</v>
      </c>
      <c r="F54" s="4">
        <v>0</v>
      </c>
      <c r="G54" s="5">
        <v>10</v>
      </c>
      <c r="H54" s="5">
        <v>0</v>
      </c>
      <c r="I54" s="3" t="s">
        <v>1366</v>
      </c>
      <c r="J54" s="3" t="s">
        <v>234</v>
      </c>
      <c r="K54" s="3" t="s">
        <v>189</v>
      </c>
      <c r="L54" s="3" t="s">
        <v>190</v>
      </c>
      <c r="M54" s="3" t="s">
        <v>191</v>
      </c>
      <c r="N54" s="3" t="s">
        <v>27</v>
      </c>
      <c r="O54" s="3" t="s">
        <v>23</v>
      </c>
      <c r="P54" s="3" t="s">
        <v>38</v>
      </c>
      <c r="Q54" s="6">
        <v>190</v>
      </c>
      <c r="R54" s="6">
        <v>0</v>
      </c>
      <c r="S54" s="4">
        <v>79</v>
      </c>
      <c r="T54" s="3" t="s">
        <v>79</v>
      </c>
      <c r="U54" s="4">
        <v>0</v>
      </c>
      <c r="V54" s="3" t="e">
        <f>VLOOKUP(E54,'[1]Consolidated Stock'!$E:$V,18,0)</f>
        <v>#N/A</v>
      </c>
      <c r="W54" s="3" t="s">
        <v>193</v>
      </c>
    </row>
    <row r="55" spans="1:23" x14ac:dyDescent="0.3">
      <c r="A55" s="7">
        <v>46088</v>
      </c>
      <c r="B55" s="8" t="s">
        <v>23</v>
      </c>
      <c r="C55" s="8" t="s">
        <v>24</v>
      </c>
      <c r="D55" s="8"/>
      <c r="E55" s="8">
        <v>125876</v>
      </c>
      <c r="F55" s="9">
        <v>67</v>
      </c>
      <c r="G55" s="10">
        <v>10</v>
      </c>
      <c r="H55" s="10">
        <v>670</v>
      </c>
      <c r="I55" s="8" t="s">
        <v>1366</v>
      </c>
      <c r="J55" s="8" t="s">
        <v>63</v>
      </c>
      <c r="K55" s="8" t="s">
        <v>194</v>
      </c>
      <c r="L55" s="8" t="s">
        <v>195</v>
      </c>
      <c r="M55" s="8" t="s">
        <v>64</v>
      </c>
      <c r="N55" s="8" t="s">
        <v>27</v>
      </c>
      <c r="O55" s="8" t="s">
        <v>23</v>
      </c>
      <c r="P55" s="8" t="s">
        <v>38</v>
      </c>
      <c r="Q55" s="11">
        <v>126</v>
      </c>
      <c r="R55" s="11">
        <v>84420</v>
      </c>
      <c r="S55" s="9">
        <v>79</v>
      </c>
      <c r="T55" s="8" t="s">
        <v>79</v>
      </c>
      <c r="U55" s="9">
        <v>67</v>
      </c>
      <c r="V55" s="8" t="s">
        <v>196</v>
      </c>
      <c r="W55" s="8" t="s">
        <v>197</v>
      </c>
    </row>
    <row r="56" spans="1:23" x14ac:dyDescent="0.3">
      <c r="A56" s="2">
        <v>46089</v>
      </c>
      <c r="B56" s="3" t="s">
        <v>23</v>
      </c>
      <c r="C56" s="3" t="s">
        <v>24</v>
      </c>
      <c r="D56" s="3"/>
      <c r="E56" s="3">
        <v>125880</v>
      </c>
      <c r="F56" s="4">
        <v>2176</v>
      </c>
      <c r="G56" s="5">
        <v>10</v>
      </c>
      <c r="H56" s="5">
        <v>21760</v>
      </c>
      <c r="I56" s="3" t="s">
        <v>1366</v>
      </c>
      <c r="J56" s="3" t="s">
        <v>234</v>
      </c>
      <c r="K56" s="3" t="s">
        <v>198</v>
      </c>
      <c r="L56" s="3" t="s">
        <v>199</v>
      </c>
      <c r="M56" s="3" t="s">
        <v>200</v>
      </c>
      <c r="N56" s="3" t="s">
        <v>27</v>
      </c>
      <c r="O56" s="3" t="s">
        <v>23</v>
      </c>
      <c r="P56" s="3" t="s">
        <v>38</v>
      </c>
      <c r="Q56" s="6">
        <v>247</v>
      </c>
      <c r="R56" s="6">
        <v>5374720</v>
      </c>
      <c r="S56" s="4">
        <v>78</v>
      </c>
      <c r="T56" s="3" t="s">
        <v>79</v>
      </c>
      <c r="U56" s="4">
        <v>2176</v>
      </c>
      <c r="V56" s="3" t="s">
        <v>201</v>
      </c>
      <c r="W56" s="3" t="s">
        <v>202</v>
      </c>
    </row>
    <row r="57" spans="1:23" x14ac:dyDescent="0.3">
      <c r="A57" s="7">
        <v>46090</v>
      </c>
      <c r="B57" s="8" t="s">
        <v>23</v>
      </c>
      <c r="C57" s="8" t="s">
        <v>24</v>
      </c>
      <c r="D57" s="8"/>
      <c r="E57" s="8">
        <v>125883</v>
      </c>
      <c r="F57" s="9">
        <v>0</v>
      </c>
      <c r="G57" s="10">
        <v>10</v>
      </c>
      <c r="H57" s="10">
        <v>0</v>
      </c>
      <c r="I57" s="8" t="s">
        <v>1366</v>
      </c>
      <c r="J57" s="8" t="s">
        <v>234</v>
      </c>
      <c r="K57" s="8" t="s">
        <v>189</v>
      </c>
      <c r="L57" s="8" t="s">
        <v>190</v>
      </c>
      <c r="M57" s="8" t="s">
        <v>191</v>
      </c>
      <c r="N57" s="8" t="s">
        <v>27</v>
      </c>
      <c r="O57" s="8" t="s">
        <v>23</v>
      </c>
      <c r="P57" s="8" t="s">
        <v>38</v>
      </c>
      <c r="Q57" s="11">
        <v>200</v>
      </c>
      <c r="R57" s="11">
        <v>0</v>
      </c>
      <c r="S57" s="9">
        <v>77</v>
      </c>
      <c r="T57" s="8" t="s">
        <v>79</v>
      </c>
      <c r="U57" s="9">
        <v>0</v>
      </c>
      <c r="V57" s="8" t="s">
        <v>203</v>
      </c>
      <c r="W57" s="8" t="s">
        <v>204</v>
      </c>
    </row>
    <row r="58" spans="1:23" x14ac:dyDescent="0.3">
      <c r="A58" s="2">
        <v>46090</v>
      </c>
      <c r="B58" s="3" t="s">
        <v>23</v>
      </c>
      <c r="C58" s="3" t="s">
        <v>24</v>
      </c>
      <c r="D58" s="3"/>
      <c r="E58" s="3">
        <v>125901</v>
      </c>
      <c r="F58" s="4">
        <v>0</v>
      </c>
      <c r="G58" s="5">
        <v>5</v>
      </c>
      <c r="H58" s="5">
        <v>0</v>
      </c>
      <c r="I58" s="3" t="s">
        <v>1366</v>
      </c>
      <c r="J58" s="3" t="s">
        <v>1373</v>
      </c>
      <c r="K58" s="3" t="s">
        <v>25</v>
      </c>
      <c r="L58" s="3" t="s">
        <v>126</v>
      </c>
      <c r="M58" s="3" t="s">
        <v>26</v>
      </c>
      <c r="N58" s="3" t="s">
        <v>27</v>
      </c>
      <c r="O58" s="3" t="s">
        <v>23</v>
      </c>
      <c r="P58" s="3" t="s">
        <v>28</v>
      </c>
      <c r="Q58" s="6">
        <v>420</v>
      </c>
      <c r="R58" s="6">
        <v>0</v>
      </c>
      <c r="S58" s="4">
        <v>77</v>
      </c>
      <c r="T58" s="3" t="s">
        <v>79</v>
      </c>
      <c r="U58" s="4">
        <v>0</v>
      </c>
      <c r="V58" s="3" t="e">
        <f>VLOOKUP(E58,'[1]Consolidated Stock'!$E:$V,18,0)</f>
        <v>#N/A</v>
      </c>
      <c r="W58" s="3" t="s">
        <v>205</v>
      </c>
    </row>
    <row r="59" spans="1:23" x14ac:dyDescent="0.3">
      <c r="A59" s="7">
        <v>46091</v>
      </c>
      <c r="B59" s="8" t="s">
        <v>23</v>
      </c>
      <c r="C59" s="8" t="s">
        <v>24</v>
      </c>
      <c r="D59" s="8"/>
      <c r="E59" s="8">
        <v>125932</v>
      </c>
      <c r="F59" s="9">
        <v>118</v>
      </c>
      <c r="G59" s="10">
        <v>10</v>
      </c>
      <c r="H59" s="10">
        <v>1180</v>
      </c>
      <c r="I59" s="8" t="s">
        <v>1366</v>
      </c>
      <c r="J59" s="8" t="s">
        <v>63</v>
      </c>
      <c r="K59" s="8" t="s">
        <v>62</v>
      </c>
      <c r="L59" s="8" t="s">
        <v>63</v>
      </c>
      <c r="M59" s="8" t="s">
        <v>64</v>
      </c>
      <c r="N59" s="8" t="s">
        <v>27</v>
      </c>
      <c r="O59" s="8" t="s">
        <v>23</v>
      </c>
      <c r="P59" s="8" t="s">
        <v>38</v>
      </c>
      <c r="Q59" s="11">
        <v>126</v>
      </c>
      <c r="R59" s="11">
        <v>148680</v>
      </c>
      <c r="S59" s="9">
        <v>76</v>
      </c>
      <c r="T59" s="8" t="s">
        <v>79</v>
      </c>
      <c r="U59" s="9">
        <v>118</v>
      </c>
      <c r="V59" s="8" t="s">
        <v>206</v>
      </c>
      <c r="W59" s="8" t="s">
        <v>207</v>
      </c>
    </row>
    <row r="60" spans="1:23" x14ac:dyDescent="0.3">
      <c r="A60" s="2">
        <v>46092</v>
      </c>
      <c r="B60" s="3" t="s">
        <v>23</v>
      </c>
      <c r="C60" s="3" t="s">
        <v>24</v>
      </c>
      <c r="D60" s="3" t="s">
        <v>208</v>
      </c>
      <c r="E60" s="3">
        <v>125937</v>
      </c>
      <c r="F60" s="4">
        <v>34</v>
      </c>
      <c r="G60" s="5">
        <v>8.1999999999999993</v>
      </c>
      <c r="H60" s="5">
        <v>278.8</v>
      </c>
      <c r="I60" s="3" t="s">
        <v>1366</v>
      </c>
      <c r="J60" s="3" t="s">
        <v>63</v>
      </c>
      <c r="K60" s="3" t="s">
        <v>209</v>
      </c>
      <c r="L60" s="3" t="s">
        <v>71</v>
      </c>
      <c r="M60" s="3" t="s">
        <v>64</v>
      </c>
      <c r="N60" s="3" t="s">
        <v>27</v>
      </c>
      <c r="O60" s="3" t="s">
        <v>23</v>
      </c>
      <c r="P60" s="3" t="s">
        <v>38</v>
      </c>
      <c r="Q60" s="6">
        <v>126</v>
      </c>
      <c r="R60" s="6">
        <v>35128.800000000003</v>
      </c>
      <c r="S60" s="4">
        <v>75</v>
      </c>
      <c r="T60" s="3" t="s">
        <v>79</v>
      </c>
      <c r="U60" s="4">
        <v>34</v>
      </c>
      <c r="V60" s="3" t="s">
        <v>210</v>
      </c>
      <c r="W60" s="3" t="s">
        <v>211</v>
      </c>
    </row>
    <row r="61" spans="1:23" x14ac:dyDescent="0.3">
      <c r="A61" s="7">
        <v>46094</v>
      </c>
      <c r="B61" s="8" t="s">
        <v>23</v>
      </c>
      <c r="C61" s="8" t="s">
        <v>24</v>
      </c>
      <c r="D61" s="8"/>
      <c r="E61" s="8">
        <v>126000</v>
      </c>
      <c r="F61" s="9">
        <v>67</v>
      </c>
      <c r="G61" s="10">
        <v>10</v>
      </c>
      <c r="H61" s="10">
        <v>670</v>
      </c>
      <c r="I61" s="8" t="s">
        <v>1366</v>
      </c>
      <c r="J61" s="8" t="s">
        <v>54</v>
      </c>
      <c r="K61" s="8" t="s">
        <v>54</v>
      </c>
      <c r="L61" s="8" t="s">
        <v>212</v>
      </c>
      <c r="M61" s="8" t="s">
        <v>55</v>
      </c>
      <c r="N61" s="8" t="s">
        <v>27</v>
      </c>
      <c r="O61" s="8" t="s">
        <v>23</v>
      </c>
      <c r="P61" s="8" t="s">
        <v>28</v>
      </c>
      <c r="Q61" s="11">
        <v>191</v>
      </c>
      <c r="R61" s="11">
        <v>127970</v>
      </c>
      <c r="S61" s="9">
        <v>73</v>
      </c>
      <c r="T61" s="8" t="s">
        <v>79</v>
      </c>
      <c r="U61" s="9">
        <v>67</v>
      </c>
      <c r="V61" s="8" t="s">
        <v>213</v>
      </c>
      <c r="W61" s="8" t="s">
        <v>214</v>
      </c>
    </row>
    <row r="62" spans="1:23" x14ac:dyDescent="0.3">
      <c r="A62" s="2">
        <v>46095</v>
      </c>
      <c r="B62" s="3" t="s">
        <v>23</v>
      </c>
      <c r="C62" s="3" t="s">
        <v>24</v>
      </c>
      <c r="D62" s="3"/>
      <c r="E62" s="3">
        <v>126030</v>
      </c>
      <c r="F62" s="4">
        <v>169</v>
      </c>
      <c r="G62" s="5">
        <v>9.49</v>
      </c>
      <c r="H62" s="5">
        <v>1603.81</v>
      </c>
      <c r="I62" s="3" t="s">
        <v>1366</v>
      </c>
      <c r="J62" s="3" t="s">
        <v>63</v>
      </c>
      <c r="K62" s="3" t="s">
        <v>62</v>
      </c>
      <c r="L62" s="3" t="s">
        <v>215</v>
      </c>
      <c r="M62" s="3" t="s">
        <v>64</v>
      </c>
      <c r="N62" s="3" t="s">
        <v>27</v>
      </c>
      <c r="O62" s="3" t="s">
        <v>23</v>
      </c>
      <c r="P62" s="3" t="s">
        <v>38</v>
      </c>
      <c r="Q62" s="6">
        <v>126</v>
      </c>
      <c r="R62" s="6">
        <v>202080.06</v>
      </c>
      <c r="S62" s="4">
        <v>72</v>
      </c>
      <c r="T62" s="3" t="s">
        <v>79</v>
      </c>
      <c r="U62" s="4">
        <v>169</v>
      </c>
      <c r="V62" s="3" t="s">
        <v>216</v>
      </c>
      <c r="W62" s="3" t="s">
        <v>217</v>
      </c>
    </row>
    <row r="63" spans="1:23" x14ac:dyDescent="0.3">
      <c r="A63" s="7">
        <v>46099</v>
      </c>
      <c r="B63" s="8" t="s">
        <v>23</v>
      </c>
      <c r="C63" s="8" t="s">
        <v>24</v>
      </c>
      <c r="D63" s="8"/>
      <c r="E63" s="8">
        <v>126130</v>
      </c>
      <c r="F63" s="9">
        <v>70</v>
      </c>
      <c r="G63" s="10">
        <v>10</v>
      </c>
      <c r="H63" s="10">
        <v>700</v>
      </c>
      <c r="I63" s="8" t="s">
        <v>1366</v>
      </c>
      <c r="J63" s="8" t="s">
        <v>63</v>
      </c>
      <c r="K63" s="8" t="s">
        <v>62</v>
      </c>
      <c r="L63" s="8" t="s">
        <v>218</v>
      </c>
      <c r="M63" s="8" t="s">
        <v>64</v>
      </c>
      <c r="N63" s="8" t="s">
        <v>27</v>
      </c>
      <c r="O63" s="8" t="s">
        <v>23</v>
      </c>
      <c r="P63" s="8" t="s">
        <v>38</v>
      </c>
      <c r="Q63" s="11">
        <v>126</v>
      </c>
      <c r="R63" s="11">
        <v>88200</v>
      </c>
      <c r="S63" s="9">
        <v>68</v>
      </c>
      <c r="T63" s="8" t="s">
        <v>79</v>
      </c>
      <c r="U63" s="9">
        <v>70</v>
      </c>
      <c r="V63" s="8" t="s">
        <v>219</v>
      </c>
      <c r="W63" s="8" t="s">
        <v>220</v>
      </c>
    </row>
    <row r="64" spans="1:23" x14ac:dyDescent="0.3">
      <c r="A64" s="2">
        <v>46101</v>
      </c>
      <c r="B64" s="3" t="s">
        <v>23</v>
      </c>
      <c r="C64" s="3" t="s">
        <v>24</v>
      </c>
      <c r="D64" s="3" t="s">
        <v>221</v>
      </c>
      <c r="E64" s="3">
        <v>126164</v>
      </c>
      <c r="F64" s="4">
        <v>882</v>
      </c>
      <c r="G64" s="5">
        <v>10</v>
      </c>
      <c r="H64" s="5">
        <v>8820</v>
      </c>
      <c r="I64" s="3" t="s">
        <v>1366</v>
      </c>
      <c r="J64" s="3" t="s">
        <v>107</v>
      </c>
      <c r="K64" s="3" t="s">
        <v>107</v>
      </c>
      <c r="L64" s="3" t="s">
        <v>28</v>
      </c>
      <c r="M64" s="3" t="s">
        <v>108</v>
      </c>
      <c r="N64" s="3" t="s">
        <v>27</v>
      </c>
      <c r="O64" s="3" t="s">
        <v>23</v>
      </c>
      <c r="P64" s="3" t="s">
        <v>28</v>
      </c>
      <c r="Q64" s="6">
        <v>107.62</v>
      </c>
      <c r="R64" s="6">
        <v>949208.4</v>
      </c>
      <c r="S64" s="4">
        <v>66</v>
      </c>
      <c r="T64" s="3" t="s">
        <v>79</v>
      </c>
      <c r="U64" s="4">
        <v>882</v>
      </c>
      <c r="V64" s="3" t="s">
        <v>222</v>
      </c>
      <c r="W64" s="3" t="s">
        <v>223</v>
      </c>
    </row>
    <row r="65" spans="1:23" x14ac:dyDescent="0.3">
      <c r="A65" s="7">
        <v>46102</v>
      </c>
      <c r="B65" s="8" t="s">
        <v>23</v>
      </c>
      <c r="C65" s="8" t="s">
        <v>24</v>
      </c>
      <c r="D65" s="8"/>
      <c r="E65" s="8">
        <v>126202</v>
      </c>
      <c r="F65" s="9">
        <v>53</v>
      </c>
      <c r="G65" s="10">
        <v>10</v>
      </c>
      <c r="H65" s="10">
        <v>530</v>
      </c>
      <c r="I65" s="8" t="s">
        <v>1366</v>
      </c>
      <c r="J65" s="8" t="s">
        <v>63</v>
      </c>
      <c r="K65" s="8" t="s">
        <v>62</v>
      </c>
      <c r="L65" s="8" t="s">
        <v>63</v>
      </c>
      <c r="M65" s="8" t="s">
        <v>64</v>
      </c>
      <c r="N65" s="8" t="s">
        <v>27</v>
      </c>
      <c r="O65" s="8" t="s">
        <v>23</v>
      </c>
      <c r="P65" s="8" t="s">
        <v>38</v>
      </c>
      <c r="Q65" s="11">
        <v>126</v>
      </c>
      <c r="R65" s="11">
        <v>66780</v>
      </c>
      <c r="S65" s="9">
        <v>65</v>
      </c>
      <c r="T65" s="8" t="s">
        <v>79</v>
      </c>
      <c r="U65" s="9">
        <v>53</v>
      </c>
      <c r="V65" s="8" t="s">
        <v>224</v>
      </c>
      <c r="W65" s="8" t="s">
        <v>225</v>
      </c>
    </row>
    <row r="66" spans="1:23" x14ac:dyDescent="0.3">
      <c r="A66" s="2">
        <v>46102</v>
      </c>
      <c r="B66" s="3" t="s">
        <v>23</v>
      </c>
      <c r="C66" s="3" t="s">
        <v>24</v>
      </c>
      <c r="D66" s="3" t="s">
        <v>226</v>
      </c>
      <c r="E66" s="3">
        <v>126220</v>
      </c>
      <c r="F66" s="4">
        <v>495</v>
      </c>
      <c r="G66" s="5">
        <v>10</v>
      </c>
      <c r="H66" s="5">
        <v>4950</v>
      </c>
      <c r="I66" s="3" t="s">
        <v>1366</v>
      </c>
      <c r="J66" s="3" t="s">
        <v>107</v>
      </c>
      <c r="K66" s="3" t="s">
        <v>107</v>
      </c>
      <c r="L66" s="3" t="s">
        <v>28</v>
      </c>
      <c r="M66" s="3" t="s">
        <v>108</v>
      </c>
      <c r="N66" s="3" t="s">
        <v>27</v>
      </c>
      <c r="O66" s="3" t="s">
        <v>23</v>
      </c>
      <c r="P66" s="3" t="s">
        <v>28</v>
      </c>
      <c r="Q66" s="6">
        <v>108.57</v>
      </c>
      <c r="R66" s="6">
        <v>537421.5</v>
      </c>
      <c r="S66" s="4">
        <v>65</v>
      </c>
      <c r="T66" s="3" t="s">
        <v>79</v>
      </c>
      <c r="U66" s="4">
        <v>495</v>
      </c>
      <c r="V66" s="3" t="s">
        <v>227</v>
      </c>
      <c r="W66" s="3" t="s">
        <v>228</v>
      </c>
    </row>
    <row r="67" spans="1:23" x14ac:dyDescent="0.3">
      <c r="A67" s="7">
        <v>46102</v>
      </c>
      <c r="B67" s="8" t="s">
        <v>23</v>
      </c>
      <c r="C67" s="8" t="s">
        <v>24</v>
      </c>
      <c r="D67" s="8" t="s">
        <v>226</v>
      </c>
      <c r="E67" s="8">
        <v>126221</v>
      </c>
      <c r="F67" s="9">
        <v>5</v>
      </c>
      <c r="G67" s="10">
        <v>10</v>
      </c>
      <c r="H67" s="10">
        <v>50</v>
      </c>
      <c r="I67" s="8" t="s">
        <v>1366</v>
      </c>
      <c r="J67" s="8" t="s">
        <v>107</v>
      </c>
      <c r="K67" s="8" t="s">
        <v>107</v>
      </c>
      <c r="L67" s="8" t="s">
        <v>28</v>
      </c>
      <c r="M67" s="8" t="s">
        <v>108</v>
      </c>
      <c r="N67" s="8" t="s">
        <v>27</v>
      </c>
      <c r="O67" s="8" t="s">
        <v>23</v>
      </c>
      <c r="P67" s="8" t="s">
        <v>28</v>
      </c>
      <c r="Q67" s="11">
        <v>108.57</v>
      </c>
      <c r="R67" s="11">
        <v>5428.5</v>
      </c>
      <c r="S67" s="9">
        <v>65</v>
      </c>
      <c r="T67" s="8" t="s">
        <v>79</v>
      </c>
      <c r="U67" s="9">
        <v>5</v>
      </c>
      <c r="V67" s="8" t="s">
        <v>229</v>
      </c>
      <c r="W67" s="8" t="s">
        <v>230</v>
      </c>
    </row>
    <row r="68" spans="1:23" x14ac:dyDescent="0.3">
      <c r="A68" s="2">
        <v>46104</v>
      </c>
      <c r="B68" s="3" t="s">
        <v>23</v>
      </c>
      <c r="C68" s="3" t="s">
        <v>24</v>
      </c>
      <c r="D68" s="3" t="s">
        <v>54</v>
      </c>
      <c r="E68" s="3">
        <v>126266</v>
      </c>
      <c r="F68" s="4">
        <v>88</v>
      </c>
      <c r="G68" s="5">
        <v>10</v>
      </c>
      <c r="H68" s="5">
        <v>880</v>
      </c>
      <c r="I68" s="3" t="s">
        <v>1366</v>
      </c>
      <c r="J68" s="3" t="s">
        <v>63</v>
      </c>
      <c r="K68" s="3" t="s">
        <v>231</v>
      </c>
      <c r="L68" s="3" t="s">
        <v>63</v>
      </c>
      <c r="M68" s="3" t="s">
        <v>64</v>
      </c>
      <c r="N68" s="3" t="s">
        <v>27</v>
      </c>
      <c r="O68" s="3" t="s">
        <v>23</v>
      </c>
      <c r="P68" s="3" t="s">
        <v>38</v>
      </c>
      <c r="Q68" s="6">
        <v>126</v>
      </c>
      <c r="R68" s="6">
        <v>110880</v>
      </c>
      <c r="S68" s="4">
        <v>63</v>
      </c>
      <c r="T68" s="3" t="s">
        <v>79</v>
      </c>
      <c r="U68" s="4">
        <v>88</v>
      </c>
      <c r="V68" s="3" t="s">
        <v>232</v>
      </c>
      <c r="W68" s="3" t="s">
        <v>233</v>
      </c>
    </row>
    <row r="69" spans="1:23" x14ac:dyDescent="0.3">
      <c r="A69" s="7">
        <v>46104</v>
      </c>
      <c r="B69" s="8" t="s">
        <v>23</v>
      </c>
      <c r="C69" s="8" t="s">
        <v>24</v>
      </c>
      <c r="D69" s="8" t="s">
        <v>234</v>
      </c>
      <c r="E69" s="8">
        <v>126267</v>
      </c>
      <c r="F69" s="9">
        <v>38</v>
      </c>
      <c r="G69" s="10">
        <v>10</v>
      </c>
      <c r="H69" s="10">
        <v>380</v>
      </c>
      <c r="I69" s="8" t="s">
        <v>1366</v>
      </c>
      <c r="J69" s="8" t="s">
        <v>234</v>
      </c>
      <c r="K69" s="8" t="s">
        <v>97</v>
      </c>
      <c r="L69" s="8" t="s">
        <v>63</v>
      </c>
      <c r="M69" s="8" t="s">
        <v>98</v>
      </c>
      <c r="N69" s="8" t="s">
        <v>27</v>
      </c>
      <c r="O69" s="8" t="s">
        <v>23</v>
      </c>
      <c r="P69" s="8" t="s">
        <v>38</v>
      </c>
      <c r="Q69" s="11">
        <v>126</v>
      </c>
      <c r="R69" s="11">
        <v>47880</v>
      </c>
      <c r="S69" s="9">
        <v>63</v>
      </c>
      <c r="T69" s="8" t="s">
        <v>79</v>
      </c>
      <c r="U69" s="9">
        <v>38</v>
      </c>
      <c r="V69" s="8" t="s">
        <v>235</v>
      </c>
      <c r="W69" s="8" t="s">
        <v>236</v>
      </c>
    </row>
    <row r="70" spans="1:23" x14ac:dyDescent="0.3">
      <c r="A70" s="2">
        <v>46104</v>
      </c>
      <c r="B70" s="3" t="s">
        <v>23</v>
      </c>
      <c r="C70" s="3" t="s">
        <v>24</v>
      </c>
      <c r="D70" s="3" t="s">
        <v>237</v>
      </c>
      <c r="E70" s="3">
        <v>126269</v>
      </c>
      <c r="F70" s="4">
        <v>214</v>
      </c>
      <c r="G70" s="5">
        <v>10</v>
      </c>
      <c r="H70" s="5">
        <v>2140</v>
      </c>
      <c r="I70" s="3" t="s">
        <v>1366</v>
      </c>
      <c r="J70" s="3" t="s">
        <v>63</v>
      </c>
      <c r="K70" s="3" t="s">
        <v>194</v>
      </c>
      <c r="L70" s="3" t="s">
        <v>195</v>
      </c>
      <c r="M70" s="3" t="s">
        <v>64</v>
      </c>
      <c r="N70" s="3" t="s">
        <v>27</v>
      </c>
      <c r="O70" s="3" t="s">
        <v>23</v>
      </c>
      <c r="P70" s="3" t="s">
        <v>38</v>
      </c>
      <c r="Q70" s="6">
        <v>120</v>
      </c>
      <c r="R70" s="6">
        <v>256800</v>
      </c>
      <c r="S70" s="4">
        <v>63</v>
      </c>
      <c r="T70" s="3" t="s">
        <v>79</v>
      </c>
      <c r="U70" s="4">
        <v>214</v>
      </c>
      <c r="V70" s="3" t="s">
        <v>238</v>
      </c>
      <c r="W70" s="3" t="s">
        <v>239</v>
      </c>
    </row>
    <row r="71" spans="1:23" x14ac:dyDescent="0.3">
      <c r="A71" s="7">
        <v>46107</v>
      </c>
      <c r="B71" s="8" t="s">
        <v>23</v>
      </c>
      <c r="C71" s="8" t="s">
        <v>24</v>
      </c>
      <c r="D71" s="8"/>
      <c r="E71" s="8">
        <v>126353</v>
      </c>
      <c r="F71" s="9">
        <v>26</v>
      </c>
      <c r="G71" s="10">
        <v>6</v>
      </c>
      <c r="H71" s="10">
        <v>156</v>
      </c>
      <c r="I71" s="8" t="s">
        <v>1366</v>
      </c>
      <c r="J71" s="8" t="s">
        <v>247</v>
      </c>
      <c r="K71" s="8" t="s">
        <v>176</v>
      </c>
      <c r="L71" s="8" t="s">
        <v>116</v>
      </c>
      <c r="M71" s="8" t="s">
        <v>177</v>
      </c>
      <c r="N71" s="8" t="s">
        <v>27</v>
      </c>
      <c r="O71" s="8" t="s">
        <v>23</v>
      </c>
      <c r="P71" s="8" t="s">
        <v>153</v>
      </c>
      <c r="Q71" s="11">
        <v>260</v>
      </c>
      <c r="R71" s="11">
        <v>40560</v>
      </c>
      <c r="S71" s="9">
        <v>60</v>
      </c>
      <c r="T71" s="8" t="s">
        <v>79</v>
      </c>
      <c r="U71" s="9">
        <v>26</v>
      </c>
      <c r="V71" s="8" t="s">
        <v>240</v>
      </c>
      <c r="W71" s="8" t="s">
        <v>241</v>
      </c>
    </row>
    <row r="72" spans="1:23" x14ac:dyDescent="0.3">
      <c r="A72" s="2">
        <v>46111</v>
      </c>
      <c r="B72" s="3" t="s">
        <v>23</v>
      </c>
      <c r="C72" s="3" t="s">
        <v>24</v>
      </c>
      <c r="D72" s="3" t="s">
        <v>234</v>
      </c>
      <c r="E72" s="3">
        <v>126441</v>
      </c>
      <c r="F72" s="4">
        <v>340</v>
      </c>
      <c r="G72" s="5">
        <v>10</v>
      </c>
      <c r="H72" s="5">
        <v>3400</v>
      </c>
      <c r="I72" s="3" t="s">
        <v>1366</v>
      </c>
      <c r="J72" s="3" t="s">
        <v>234</v>
      </c>
      <c r="K72" s="3" t="s">
        <v>242</v>
      </c>
      <c r="L72" s="3" t="s">
        <v>243</v>
      </c>
      <c r="M72" s="3" t="s">
        <v>244</v>
      </c>
      <c r="N72" s="3" t="s">
        <v>27</v>
      </c>
      <c r="O72" s="3" t="s">
        <v>23</v>
      </c>
      <c r="P72" s="3" t="s">
        <v>28</v>
      </c>
      <c r="Q72" s="6">
        <v>215</v>
      </c>
      <c r="R72" s="6">
        <v>731000</v>
      </c>
      <c r="S72" s="4">
        <v>56</v>
      </c>
      <c r="T72" s="3" t="s">
        <v>79</v>
      </c>
      <c r="U72" s="4">
        <v>340</v>
      </c>
      <c r="V72" s="3" t="s">
        <v>245</v>
      </c>
      <c r="W72" s="3" t="s">
        <v>246</v>
      </c>
    </row>
    <row r="73" spans="1:23" x14ac:dyDescent="0.3">
      <c r="A73" s="7">
        <v>46114</v>
      </c>
      <c r="B73" s="8" t="s">
        <v>23</v>
      </c>
      <c r="C73" s="8" t="s">
        <v>24</v>
      </c>
      <c r="D73" s="8" t="s">
        <v>247</v>
      </c>
      <c r="E73" s="8">
        <v>126495</v>
      </c>
      <c r="F73" s="9">
        <v>38</v>
      </c>
      <c r="G73" s="10">
        <v>6</v>
      </c>
      <c r="H73" s="10">
        <v>228</v>
      </c>
      <c r="I73" s="8" t="s">
        <v>1366</v>
      </c>
      <c r="J73" s="8" t="s">
        <v>247</v>
      </c>
      <c r="K73" s="8" t="s">
        <v>176</v>
      </c>
      <c r="L73" s="8" t="s">
        <v>116</v>
      </c>
      <c r="M73" s="8" t="s">
        <v>177</v>
      </c>
      <c r="N73" s="8" t="s">
        <v>27</v>
      </c>
      <c r="O73" s="8" t="s">
        <v>23</v>
      </c>
      <c r="P73" s="8" t="s">
        <v>153</v>
      </c>
      <c r="Q73" s="11">
        <v>260</v>
      </c>
      <c r="R73" s="11">
        <v>59280</v>
      </c>
      <c r="S73" s="9">
        <v>53</v>
      </c>
      <c r="T73" s="8" t="s">
        <v>79</v>
      </c>
      <c r="U73" s="9">
        <v>38</v>
      </c>
      <c r="V73" s="8" t="s">
        <v>248</v>
      </c>
      <c r="W73" s="8" t="s">
        <v>249</v>
      </c>
    </row>
    <row r="74" spans="1:23" x14ac:dyDescent="0.3">
      <c r="A74" s="2">
        <v>46120</v>
      </c>
      <c r="B74" s="3" t="s">
        <v>23</v>
      </c>
      <c r="C74" s="3" t="s">
        <v>24</v>
      </c>
      <c r="D74" s="3" t="s">
        <v>221</v>
      </c>
      <c r="E74" s="3">
        <v>126646</v>
      </c>
      <c r="F74" s="4">
        <v>1595</v>
      </c>
      <c r="G74" s="5">
        <v>6.79</v>
      </c>
      <c r="H74" s="5">
        <v>10830.05</v>
      </c>
      <c r="I74" s="3" t="s">
        <v>1366</v>
      </c>
      <c r="J74" s="3" t="s">
        <v>247</v>
      </c>
      <c r="K74" s="3" t="s">
        <v>58</v>
      </c>
      <c r="L74" s="3" t="s">
        <v>221</v>
      </c>
      <c r="M74" s="3" t="s">
        <v>59</v>
      </c>
      <c r="N74" s="3" t="s">
        <v>27</v>
      </c>
      <c r="O74" s="3" t="s">
        <v>23</v>
      </c>
      <c r="P74" s="3" t="s">
        <v>28</v>
      </c>
      <c r="Q74" s="6">
        <v>213</v>
      </c>
      <c r="R74" s="6">
        <v>2306800.65</v>
      </c>
      <c r="S74" s="4">
        <v>47</v>
      </c>
      <c r="T74" s="3" t="s">
        <v>79</v>
      </c>
      <c r="U74" s="4">
        <v>1595</v>
      </c>
      <c r="V74" s="3" t="s">
        <v>250</v>
      </c>
      <c r="W74" s="3" t="s">
        <v>251</v>
      </c>
    </row>
    <row r="75" spans="1:23" x14ac:dyDescent="0.3">
      <c r="A75" s="7">
        <v>46127</v>
      </c>
      <c r="B75" s="8" t="s">
        <v>23</v>
      </c>
      <c r="C75" s="8" t="s">
        <v>24</v>
      </c>
      <c r="D75" s="8" t="s">
        <v>252</v>
      </c>
      <c r="E75" s="8">
        <v>126828</v>
      </c>
      <c r="F75" s="9">
        <v>232</v>
      </c>
      <c r="G75" s="10">
        <v>10</v>
      </c>
      <c r="H75" s="10">
        <v>2320</v>
      </c>
      <c r="I75" s="8" t="s">
        <v>1366</v>
      </c>
      <c r="J75" s="8" t="s">
        <v>63</v>
      </c>
      <c r="K75" s="8" t="s">
        <v>62</v>
      </c>
      <c r="L75" s="8" t="s">
        <v>63</v>
      </c>
      <c r="M75" s="8" t="s">
        <v>64</v>
      </c>
      <c r="N75" s="8" t="s">
        <v>27</v>
      </c>
      <c r="O75" s="8" t="s">
        <v>23</v>
      </c>
      <c r="P75" s="8" t="s">
        <v>38</v>
      </c>
      <c r="Q75" s="11">
        <v>126</v>
      </c>
      <c r="R75" s="11">
        <v>292320</v>
      </c>
      <c r="S75" s="9">
        <v>40</v>
      </c>
      <c r="T75" s="8" t="s">
        <v>79</v>
      </c>
      <c r="U75" s="9">
        <v>232</v>
      </c>
      <c r="V75" s="8" t="s">
        <v>253</v>
      </c>
      <c r="W75" s="8" t="s">
        <v>254</v>
      </c>
    </row>
    <row r="76" spans="1:23" x14ac:dyDescent="0.3">
      <c r="A76" s="2">
        <v>46133</v>
      </c>
      <c r="B76" s="3" t="s">
        <v>23</v>
      </c>
      <c r="C76" s="3" t="s">
        <v>24</v>
      </c>
      <c r="D76" s="3"/>
      <c r="E76" s="3">
        <v>127023</v>
      </c>
      <c r="F76" s="4">
        <v>4</v>
      </c>
      <c r="G76" s="5">
        <v>5</v>
      </c>
      <c r="H76" s="5">
        <v>20</v>
      </c>
      <c r="I76" s="3" t="s">
        <v>1366</v>
      </c>
      <c r="J76" s="3" t="s">
        <v>1401</v>
      </c>
      <c r="K76" s="3" t="s">
        <v>161</v>
      </c>
      <c r="L76" s="3" t="s">
        <v>255</v>
      </c>
      <c r="M76" s="3" t="s">
        <v>163</v>
      </c>
      <c r="N76" s="3" t="s">
        <v>27</v>
      </c>
      <c r="O76" s="3" t="s">
        <v>23</v>
      </c>
      <c r="P76" s="3" t="s">
        <v>28</v>
      </c>
      <c r="Q76" s="6">
        <v>490</v>
      </c>
      <c r="R76" s="6">
        <v>9800</v>
      </c>
      <c r="S76" s="4">
        <v>34</v>
      </c>
      <c r="T76" s="3" t="s">
        <v>79</v>
      </c>
      <c r="U76" s="4">
        <v>4</v>
      </c>
      <c r="V76" s="3" t="s">
        <v>256</v>
      </c>
      <c r="W76" s="3" t="s">
        <v>257</v>
      </c>
    </row>
    <row r="77" spans="1:23" x14ac:dyDescent="0.3">
      <c r="A77" s="7">
        <v>46133</v>
      </c>
      <c r="B77" s="8" t="s">
        <v>23</v>
      </c>
      <c r="C77" s="8" t="s">
        <v>24</v>
      </c>
      <c r="D77" s="8"/>
      <c r="E77" s="8">
        <v>127024</v>
      </c>
      <c r="F77" s="9">
        <v>2</v>
      </c>
      <c r="G77" s="10">
        <v>10</v>
      </c>
      <c r="H77" s="10">
        <v>20</v>
      </c>
      <c r="I77" s="8" t="s">
        <v>1366</v>
      </c>
      <c r="J77" s="8" t="s">
        <v>121</v>
      </c>
      <c r="K77" s="8" t="s">
        <v>121</v>
      </c>
      <c r="L77" s="8" t="s">
        <v>255</v>
      </c>
      <c r="M77" s="8" t="s">
        <v>122</v>
      </c>
      <c r="N77" s="8" t="s">
        <v>27</v>
      </c>
      <c r="O77" s="8" t="s">
        <v>23</v>
      </c>
      <c r="P77" s="8" t="s">
        <v>123</v>
      </c>
      <c r="Q77" s="11">
        <v>100</v>
      </c>
      <c r="R77" s="11">
        <v>2000</v>
      </c>
      <c r="S77" s="9">
        <v>34</v>
      </c>
      <c r="T77" s="8" t="s">
        <v>79</v>
      </c>
      <c r="U77" s="9">
        <v>2</v>
      </c>
      <c r="V77" s="8" t="s">
        <v>258</v>
      </c>
      <c r="W77" s="8" t="s">
        <v>259</v>
      </c>
    </row>
    <row r="78" spans="1:23" x14ac:dyDescent="0.3">
      <c r="A78" s="7">
        <v>46133</v>
      </c>
      <c r="B78" s="8" t="s">
        <v>23</v>
      </c>
      <c r="C78" s="8" t="s">
        <v>24</v>
      </c>
      <c r="D78" s="8"/>
      <c r="E78" s="8">
        <v>127026</v>
      </c>
      <c r="F78" s="9">
        <v>144</v>
      </c>
      <c r="G78" s="10">
        <v>6</v>
      </c>
      <c r="H78" s="10">
        <v>864</v>
      </c>
      <c r="I78" s="8" t="s">
        <v>1366</v>
      </c>
      <c r="J78" s="8" t="s">
        <v>247</v>
      </c>
      <c r="K78" s="8" t="s">
        <v>260</v>
      </c>
      <c r="L78" s="8" t="s">
        <v>261</v>
      </c>
      <c r="M78" s="8" t="s">
        <v>59</v>
      </c>
      <c r="N78" s="8" t="s">
        <v>27</v>
      </c>
      <c r="O78" s="8" t="s">
        <v>23</v>
      </c>
      <c r="P78" s="8" t="s">
        <v>28</v>
      </c>
      <c r="Q78" s="11">
        <v>200</v>
      </c>
      <c r="R78" s="11">
        <v>172800</v>
      </c>
      <c r="S78" s="9">
        <v>34</v>
      </c>
      <c r="T78" s="8" t="s">
        <v>79</v>
      </c>
      <c r="U78" s="9">
        <v>144</v>
      </c>
      <c r="V78" s="8" t="s">
        <v>262</v>
      </c>
      <c r="W78" s="8" t="s">
        <v>263</v>
      </c>
    </row>
    <row r="79" spans="1:23" x14ac:dyDescent="0.3">
      <c r="A79" s="2">
        <v>46141</v>
      </c>
      <c r="B79" s="3" t="s">
        <v>23</v>
      </c>
      <c r="C79" s="3" t="s">
        <v>24</v>
      </c>
      <c r="D79" s="3"/>
      <c r="E79" s="3">
        <v>127181</v>
      </c>
      <c r="F79" s="4">
        <v>1059</v>
      </c>
      <c r="G79" s="5">
        <v>10</v>
      </c>
      <c r="H79" s="5">
        <v>10590</v>
      </c>
      <c r="I79" s="3" t="s">
        <v>1366</v>
      </c>
      <c r="J79" s="3" t="s">
        <v>39</v>
      </c>
      <c r="K79" s="3" t="s">
        <v>264</v>
      </c>
      <c r="L79" s="3" t="s">
        <v>221</v>
      </c>
      <c r="M79" s="3" t="s">
        <v>127</v>
      </c>
      <c r="N79" s="3" t="s">
        <v>27</v>
      </c>
      <c r="O79" s="3" t="s">
        <v>23</v>
      </c>
      <c r="P79" s="3" t="s">
        <v>28</v>
      </c>
      <c r="Q79" s="6">
        <v>115</v>
      </c>
      <c r="R79" s="6">
        <v>1217850</v>
      </c>
      <c r="S79" s="4">
        <v>26</v>
      </c>
      <c r="T79" s="3" t="s">
        <v>79</v>
      </c>
      <c r="U79" s="4">
        <v>1059</v>
      </c>
      <c r="V79" s="3" t="s">
        <v>265</v>
      </c>
      <c r="W79" s="3" t="s">
        <v>266</v>
      </c>
    </row>
    <row r="80" spans="1:23" x14ac:dyDescent="0.3">
      <c r="A80" s="7">
        <v>46141</v>
      </c>
      <c r="B80" s="8" t="s">
        <v>23</v>
      </c>
      <c r="C80" s="8" t="s">
        <v>24</v>
      </c>
      <c r="D80" s="8"/>
      <c r="E80" s="8">
        <v>127182</v>
      </c>
      <c r="F80" s="9">
        <v>98</v>
      </c>
      <c r="G80" s="10">
        <v>10</v>
      </c>
      <c r="H80" s="10">
        <v>980</v>
      </c>
      <c r="I80" s="8" t="s">
        <v>1366</v>
      </c>
      <c r="J80" s="8" t="s">
        <v>63</v>
      </c>
      <c r="K80" s="8" t="s">
        <v>267</v>
      </c>
      <c r="L80" s="8" t="s">
        <v>221</v>
      </c>
      <c r="M80" s="8" t="s">
        <v>64</v>
      </c>
      <c r="N80" s="8" t="s">
        <v>27</v>
      </c>
      <c r="O80" s="8" t="s">
        <v>23</v>
      </c>
      <c r="P80" s="8" t="s">
        <v>28</v>
      </c>
      <c r="Q80" s="11">
        <v>135</v>
      </c>
      <c r="R80" s="11">
        <v>132300</v>
      </c>
      <c r="S80" s="9">
        <v>26</v>
      </c>
      <c r="T80" s="8" t="s">
        <v>79</v>
      </c>
      <c r="U80" s="9">
        <v>98</v>
      </c>
      <c r="V80" s="8" t="s">
        <v>268</v>
      </c>
      <c r="W80" s="8" t="s">
        <v>269</v>
      </c>
    </row>
    <row r="81" spans="1:23" x14ac:dyDescent="0.3">
      <c r="A81" s="2">
        <v>46149</v>
      </c>
      <c r="B81" s="3" t="s">
        <v>23</v>
      </c>
      <c r="C81" s="3" t="s">
        <v>24</v>
      </c>
      <c r="D81" s="3"/>
      <c r="E81" s="3">
        <v>127436</v>
      </c>
      <c r="F81" s="4">
        <v>9</v>
      </c>
      <c r="G81" s="5">
        <v>10</v>
      </c>
      <c r="H81" s="5">
        <v>90</v>
      </c>
      <c r="I81" s="3" t="s">
        <v>1366</v>
      </c>
      <c r="J81" s="3" t="s">
        <v>121</v>
      </c>
      <c r="K81" s="3" t="s">
        <v>121</v>
      </c>
      <c r="L81" s="3" t="s">
        <v>153</v>
      </c>
      <c r="M81" s="3" t="s">
        <v>122</v>
      </c>
      <c r="N81" s="3" t="s">
        <v>27</v>
      </c>
      <c r="O81" s="3" t="s">
        <v>23</v>
      </c>
      <c r="P81" s="3" t="s">
        <v>123</v>
      </c>
      <c r="Q81" s="6">
        <v>100</v>
      </c>
      <c r="R81" s="6">
        <v>9000</v>
      </c>
      <c r="S81" s="4">
        <v>18</v>
      </c>
      <c r="T81" s="3" t="s">
        <v>79</v>
      </c>
      <c r="U81" s="4">
        <v>9</v>
      </c>
      <c r="V81" s="3" t="s">
        <v>270</v>
      </c>
      <c r="W81" s="3" t="s">
        <v>271</v>
      </c>
    </row>
    <row r="82" spans="1:23" x14ac:dyDescent="0.3">
      <c r="A82" s="7">
        <v>46149</v>
      </c>
      <c r="B82" s="8" t="s">
        <v>23</v>
      </c>
      <c r="C82" s="8" t="s">
        <v>24</v>
      </c>
      <c r="D82" s="8"/>
      <c r="E82" s="8">
        <v>127437</v>
      </c>
      <c r="F82" s="9">
        <v>5</v>
      </c>
      <c r="G82" s="10">
        <v>10</v>
      </c>
      <c r="H82" s="10">
        <v>50</v>
      </c>
      <c r="I82" s="8" t="s">
        <v>1366</v>
      </c>
      <c r="J82" s="8" t="s">
        <v>63</v>
      </c>
      <c r="K82" s="8" t="s">
        <v>62</v>
      </c>
      <c r="L82" s="8" t="s">
        <v>153</v>
      </c>
      <c r="M82" s="8" t="s">
        <v>64</v>
      </c>
      <c r="N82" s="8" t="s">
        <v>27</v>
      </c>
      <c r="O82" s="8" t="s">
        <v>23</v>
      </c>
      <c r="P82" s="8" t="s">
        <v>38</v>
      </c>
      <c r="Q82" s="11">
        <v>126</v>
      </c>
      <c r="R82" s="11">
        <v>6300</v>
      </c>
      <c r="S82" s="9">
        <v>18</v>
      </c>
      <c r="T82" s="8" t="s">
        <v>79</v>
      </c>
      <c r="U82" s="9">
        <v>5</v>
      </c>
      <c r="V82" s="8" t="s">
        <v>272</v>
      </c>
      <c r="W82" s="8" t="s">
        <v>273</v>
      </c>
    </row>
    <row r="83" spans="1:23" x14ac:dyDescent="0.3">
      <c r="A83" s="7">
        <v>46151</v>
      </c>
      <c r="B83" s="8" t="s">
        <v>23</v>
      </c>
      <c r="C83" s="8" t="s">
        <v>24</v>
      </c>
      <c r="D83" s="8"/>
      <c r="E83" s="8">
        <v>127487</v>
      </c>
      <c r="F83" s="9">
        <v>375</v>
      </c>
      <c r="G83" s="10">
        <v>6.5</v>
      </c>
      <c r="H83" s="10">
        <v>2437.5</v>
      </c>
      <c r="I83" s="8" t="s">
        <v>1366</v>
      </c>
      <c r="J83" s="8" t="s">
        <v>247</v>
      </c>
      <c r="K83" s="8" t="s">
        <v>260</v>
      </c>
      <c r="L83" s="8" t="s">
        <v>261</v>
      </c>
      <c r="M83" s="8" t="s">
        <v>59</v>
      </c>
      <c r="N83" s="8" t="s">
        <v>27</v>
      </c>
      <c r="O83" s="8" t="s">
        <v>23</v>
      </c>
      <c r="P83" s="8" t="s">
        <v>28</v>
      </c>
      <c r="Q83" s="11">
        <v>200</v>
      </c>
      <c r="R83" s="11">
        <v>487500</v>
      </c>
      <c r="S83" s="9">
        <v>16</v>
      </c>
      <c r="T83" s="8" t="s">
        <v>79</v>
      </c>
      <c r="U83" s="9">
        <v>375</v>
      </c>
      <c r="V83" s="8" t="s">
        <v>1350</v>
      </c>
      <c r="W83" s="8" t="s">
        <v>1357</v>
      </c>
    </row>
    <row r="84" spans="1:23" x14ac:dyDescent="0.3">
      <c r="A84" s="7">
        <v>46151</v>
      </c>
      <c r="B84" s="8" t="s">
        <v>23</v>
      </c>
      <c r="C84" s="8" t="s">
        <v>24</v>
      </c>
      <c r="D84" s="8"/>
      <c r="E84" s="8">
        <v>127488</v>
      </c>
      <c r="F84" s="9">
        <v>235</v>
      </c>
      <c r="G84" s="10">
        <v>6.5</v>
      </c>
      <c r="H84" s="10">
        <v>1527.5</v>
      </c>
      <c r="I84" s="8" t="s">
        <v>1366</v>
      </c>
      <c r="J84" s="8" t="s">
        <v>247</v>
      </c>
      <c r="K84" s="8" t="s">
        <v>58</v>
      </c>
      <c r="L84" s="8" t="s">
        <v>153</v>
      </c>
      <c r="M84" s="8" t="s">
        <v>59</v>
      </c>
      <c r="N84" s="8" t="s">
        <v>27</v>
      </c>
      <c r="O84" s="8" t="s">
        <v>23</v>
      </c>
      <c r="P84" s="8" t="s">
        <v>28</v>
      </c>
      <c r="Q84" s="11">
        <v>213</v>
      </c>
      <c r="R84" s="11">
        <v>325357.5</v>
      </c>
      <c r="S84" s="9">
        <v>16</v>
      </c>
      <c r="T84" s="8" t="s">
        <v>79</v>
      </c>
      <c r="U84" s="9">
        <v>235</v>
      </c>
      <c r="V84" s="8" t="s">
        <v>1351</v>
      </c>
      <c r="W84" s="8" t="s">
        <v>1356</v>
      </c>
    </row>
    <row r="85" spans="1:23" x14ac:dyDescent="0.3">
      <c r="A85" s="12">
        <v>46156</v>
      </c>
      <c r="B85" s="13" t="s">
        <v>23</v>
      </c>
      <c r="C85" s="13" t="s">
        <v>24</v>
      </c>
      <c r="D85" s="13"/>
      <c r="E85" s="13">
        <v>127641</v>
      </c>
      <c r="F85" s="14">
        <v>5</v>
      </c>
      <c r="G85" s="15">
        <v>10</v>
      </c>
      <c r="H85" s="15">
        <v>50</v>
      </c>
      <c r="I85" s="13" t="s">
        <v>1366</v>
      </c>
      <c r="J85" s="13" t="s">
        <v>234</v>
      </c>
      <c r="K85" s="13" t="s">
        <v>274</v>
      </c>
      <c r="L85" s="13" t="s">
        <v>275</v>
      </c>
      <c r="M85" s="13" t="s">
        <v>191</v>
      </c>
      <c r="N85" s="13" t="s">
        <v>27</v>
      </c>
      <c r="O85" s="13" t="s">
        <v>23</v>
      </c>
      <c r="P85" s="13" t="s">
        <v>38</v>
      </c>
      <c r="Q85" s="16">
        <v>200</v>
      </c>
      <c r="R85" s="16">
        <v>10000</v>
      </c>
      <c r="S85" s="14">
        <v>11</v>
      </c>
      <c r="T85" s="13" t="s">
        <v>79</v>
      </c>
      <c r="U85" s="14">
        <v>5</v>
      </c>
      <c r="V85" s="13" t="s">
        <v>1352</v>
      </c>
      <c r="W85" s="13" t="s">
        <v>1355</v>
      </c>
    </row>
    <row r="86" spans="1:23" x14ac:dyDescent="0.3">
      <c r="A86" s="12">
        <v>46158</v>
      </c>
      <c r="B86" s="13" t="s">
        <v>23</v>
      </c>
      <c r="C86" s="13" t="s">
        <v>24</v>
      </c>
      <c r="D86" s="13"/>
      <c r="E86" s="13">
        <v>127723</v>
      </c>
      <c r="F86" s="14">
        <v>104</v>
      </c>
      <c r="G86" s="15">
        <v>12</v>
      </c>
      <c r="H86" s="15">
        <v>1248</v>
      </c>
      <c r="I86" s="13" t="s">
        <v>1366</v>
      </c>
      <c r="J86" s="13" t="s">
        <v>1402</v>
      </c>
      <c r="K86" s="13" t="s">
        <v>276</v>
      </c>
      <c r="L86" s="13" t="s">
        <v>277</v>
      </c>
      <c r="M86" s="13" t="s">
        <v>278</v>
      </c>
      <c r="N86" s="13" t="s">
        <v>27</v>
      </c>
      <c r="O86" s="13" t="s">
        <v>23</v>
      </c>
      <c r="P86" s="13" t="s">
        <v>28</v>
      </c>
      <c r="Q86" s="16">
        <v>300</v>
      </c>
      <c r="R86" s="16">
        <v>374400</v>
      </c>
      <c r="S86" s="14">
        <v>9</v>
      </c>
      <c r="T86" s="13" t="s">
        <v>79</v>
      </c>
      <c r="U86" s="14">
        <v>104</v>
      </c>
      <c r="V86" s="13" t="s">
        <v>1353</v>
      </c>
      <c r="W86" s="13" t="s">
        <v>1354</v>
      </c>
    </row>
    <row r="87" spans="1:23" x14ac:dyDescent="0.3">
      <c r="A87" s="12">
        <v>46164</v>
      </c>
      <c r="B87" s="13" t="s">
        <v>23</v>
      </c>
      <c r="C87" s="13" t="s">
        <v>24</v>
      </c>
      <c r="D87" s="13"/>
      <c r="E87" s="13">
        <v>127890</v>
      </c>
      <c r="F87" s="14">
        <v>48</v>
      </c>
      <c r="G87" s="15">
        <v>9</v>
      </c>
      <c r="H87" s="15">
        <v>432</v>
      </c>
      <c r="I87" s="13" t="s">
        <v>1366</v>
      </c>
      <c r="J87" s="13" t="s">
        <v>107</v>
      </c>
      <c r="K87" s="13" t="s">
        <v>279</v>
      </c>
      <c r="L87" s="13" t="s">
        <v>28</v>
      </c>
      <c r="M87" s="13" t="s">
        <v>280</v>
      </c>
      <c r="N87" s="13" t="s">
        <v>27</v>
      </c>
      <c r="O87" s="13" t="s">
        <v>23</v>
      </c>
      <c r="P87" s="13" t="s">
        <v>28</v>
      </c>
      <c r="Q87" s="16">
        <v>130</v>
      </c>
      <c r="R87" s="16">
        <v>56160</v>
      </c>
      <c r="S87" s="14">
        <v>3</v>
      </c>
      <c r="T87" s="13" t="s">
        <v>79</v>
      </c>
      <c r="U87" s="14">
        <v>48</v>
      </c>
      <c r="V87" s="13"/>
      <c r="W87" s="13"/>
    </row>
    <row r="88" spans="1:23" x14ac:dyDescent="0.3">
      <c r="A88" s="2" t="s">
        <v>281</v>
      </c>
      <c r="B88" s="3" t="s">
        <v>282</v>
      </c>
      <c r="C88" s="3" t="s">
        <v>283</v>
      </c>
      <c r="D88" s="3" t="s">
        <v>284</v>
      </c>
      <c r="E88" s="3">
        <v>2154</v>
      </c>
      <c r="F88" s="4">
        <v>1800</v>
      </c>
      <c r="G88" s="5">
        <v>6.77</v>
      </c>
      <c r="H88" s="5">
        <v>12186</v>
      </c>
      <c r="I88" s="3" t="s">
        <v>1366</v>
      </c>
      <c r="J88" s="3" t="s">
        <v>247</v>
      </c>
      <c r="K88" s="3" t="s">
        <v>58</v>
      </c>
      <c r="L88" s="3" t="s">
        <v>221</v>
      </c>
      <c r="M88" s="3" t="s">
        <v>59</v>
      </c>
      <c r="N88" s="3" t="s">
        <v>27</v>
      </c>
      <c r="O88" s="3" t="s">
        <v>285</v>
      </c>
      <c r="P88" s="3" t="s">
        <v>28</v>
      </c>
      <c r="Q88" s="6">
        <v>215</v>
      </c>
      <c r="R88" s="6">
        <v>2619990</v>
      </c>
      <c r="S88" s="4">
        <v>44</v>
      </c>
      <c r="T88" s="3" t="s">
        <v>79</v>
      </c>
      <c r="U88" s="4">
        <v>1800</v>
      </c>
      <c r="V88" s="3" t="e">
        <f>VLOOKUP(E88,'[1]Consolidated Stock'!$E:$V,18,0)</f>
        <v>#N/A</v>
      </c>
      <c r="W88" s="3" t="s">
        <v>286</v>
      </c>
    </row>
    <row r="89" spans="1:23" x14ac:dyDescent="0.3">
      <c r="A89" s="7" t="s">
        <v>287</v>
      </c>
      <c r="B89" s="8" t="s">
        <v>282</v>
      </c>
      <c r="C89" s="8" t="s">
        <v>288</v>
      </c>
      <c r="D89" s="8" t="s">
        <v>289</v>
      </c>
      <c r="E89" s="8">
        <v>3962</v>
      </c>
      <c r="F89" s="9">
        <v>763</v>
      </c>
      <c r="G89" s="10">
        <v>5</v>
      </c>
      <c r="H89" s="10">
        <v>3815</v>
      </c>
      <c r="I89" s="8" t="s">
        <v>1366</v>
      </c>
      <c r="J89" s="8" t="s">
        <v>1014</v>
      </c>
      <c r="K89" s="8" t="s">
        <v>290</v>
      </c>
      <c r="L89" s="8" t="s">
        <v>126</v>
      </c>
      <c r="M89" s="8" t="s">
        <v>291</v>
      </c>
      <c r="N89" s="8" t="s">
        <v>27</v>
      </c>
      <c r="O89" s="8" t="s">
        <v>285</v>
      </c>
      <c r="P89" s="8" t="s">
        <v>28</v>
      </c>
      <c r="Q89" s="11">
        <v>765</v>
      </c>
      <c r="R89" s="11">
        <v>2918475</v>
      </c>
      <c r="S89" s="9">
        <v>32</v>
      </c>
      <c r="T89" s="8" t="s">
        <v>79</v>
      </c>
      <c r="U89" s="9">
        <v>763</v>
      </c>
      <c r="V89" s="8" t="s">
        <v>292</v>
      </c>
      <c r="W89" s="8" t="s">
        <v>293</v>
      </c>
    </row>
    <row r="90" spans="1:23" x14ac:dyDescent="0.3">
      <c r="A90" s="2" t="s">
        <v>287</v>
      </c>
      <c r="B90" s="3" t="s">
        <v>282</v>
      </c>
      <c r="C90" s="3" t="s">
        <v>288</v>
      </c>
      <c r="D90" s="3" t="s">
        <v>294</v>
      </c>
      <c r="E90" s="3">
        <v>3963</v>
      </c>
      <c r="F90" s="4">
        <v>804</v>
      </c>
      <c r="G90" s="5">
        <v>5</v>
      </c>
      <c r="H90" s="5">
        <v>4020</v>
      </c>
      <c r="I90" s="3" t="s">
        <v>1366</v>
      </c>
      <c r="J90" s="3" t="s">
        <v>818</v>
      </c>
      <c r="K90" s="3" t="s">
        <v>295</v>
      </c>
      <c r="L90" s="3" t="s">
        <v>126</v>
      </c>
      <c r="M90" s="3" t="s">
        <v>296</v>
      </c>
      <c r="N90" s="3" t="s">
        <v>27</v>
      </c>
      <c r="O90" s="3" t="s">
        <v>285</v>
      </c>
      <c r="P90" s="3" t="s">
        <v>28</v>
      </c>
      <c r="Q90" s="6">
        <v>677.14</v>
      </c>
      <c r="R90" s="6">
        <v>2722102.8</v>
      </c>
      <c r="S90" s="4">
        <v>32</v>
      </c>
      <c r="T90" s="3" t="s">
        <v>79</v>
      </c>
      <c r="U90" s="4">
        <v>804</v>
      </c>
      <c r="V90" s="3" t="s">
        <v>297</v>
      </c>
      <c r="W90" s="3" t="s">
        <v>298</v>
      </c>
    </row>
    <row r="91" spans="1:23" x14ac:dyDescent="0.3">
      <c r="A91" s="7" t="s">
        <v>287</v>
      </c>
      <c r="B91" s="8" t="s">
        <v>282</v>
      </c>
      <c r="C91" s="8" t="s">
        <v>288</v>
      </c>
      <c r="D91" s="8" t="s">
        <v>299</v>
      </c>
      <c r="E91" s="8">
        <v>4004</v>
      </c>
      <c r="F91" s="9">
        <v>0</v>
      </c>
      <c r="G91" s="10">
        <v>5</v>
      </c>
      <c r="H91" s="10">
        <v>0</v>
      </c>
      <c r="I91" s="8" t="s">
        <v>1366</v>
      </c>
      <c r="J91" s="8" t="s">
        <v>818</v>
      </c>
      <c r="K91" s="8" t="s">
        <v>295</v>
      </c>
      <c r="L91" s="8" t="s">
        <v>300</v>
      </c>
      <c r="M91" s="8" t="s">
        <v>296</v>
      </c>
      <c r="N91" s="8" t="s">
        <v>27</v>
      </c>
      <c r="O91" s="8" t="s">
        <v>285</v>
      </c>
      <c r="P91" s="8" t="s">
        <v>28</v>
      </c>
      <c r="Q91" s="11">
        <v>677.14</v>
      </c>
      <c r="R91" s="11">
        <v>0</v>
      </c>
      <c r="S91" s="9">
        <v>32</v>
      </c>
      <c r="T91" s="8" t="s">
        <v>79</v>
      </c>
      <c r="U91" s="9">
        <v>0</v>
      </c>
      <c r="V91" s="8" t="e">
        <f>VLOOKUP(E91,'[1]Consolidated Stock'!$E:$V,18,0)</f>
        <v>#N/A</v>
      </c>
      <c r="W91" s="8" t="s">
        <v>301</v>
      </c>
    </row>
    <row r="92" spans="1:23" x14ac:dyDescent="0.3">
      <c r="A92" s="2" t="s">
        <v>302</v>
      </c>
      <c r="B92" s="3" t="s">
        <v>282</v>
      </c>
      <c r="C92" s="3" t="s">
        <v>303</v>
      </c>
      <c r="D92" s="3" t="s">
        <v>304</v>
      </c>
      <c r="E92" s="3">
        <v>4386</v>
      </c>
      <c r="F92" s="4">
        <v>3</v>
      </c>
      <c r="G92" s="5">
        <v>3.96</v>
      </c>
      <c r="H92" s="5">
        <v>11.88</v>
      </c>
      <c r="I92" s="3" t="s">
        <v>1366</v>
      </c>
      <c r="J92" s="3" t="s">
        <v>1374</v>
      </c>
      <c r="K92" s="3" t="s">
        <v>305</v>
      </c>
      <c r="L92" s="3" t="s">
        <v>38</v>
      </c>
      <c r="M92" s="3" t="s">
        <v>306</v>
      </c>
      <c r="N92" s="3" t="s">
        <v>27</v>
      </c>
      <c r="O92" s="3" t="s">
        <v>285</v>
      </c>
      <c r="P92" s="3" t="s">
        <v>38</v>
      </c>
      <c r="Q92" s="6">
        <v>120</v>
      </c>
      <c r="R92" s="6">
        <v>1425.6</v>
      </c>
      <c r="S92" s="4">
        <v>29</v>
      </c>
      <c r="T92" s="3" t="s">
        <v>79</v>
      </c>
      <c r="U92" s="4">
        <v>3</v>
      </c>
      <c r="V92" s="3" t="s">
        <v>307</v>
      </c>
      <c r="W92" s="3" t="s">
        <v>308</v>
      </c>
    </row>
    <row r="93" spans="1:23" x14ac:dyDescent="0.3">
      <c r="A93" s="7" t="s">
        <v>309</v>
      </c>
      <c r="B93" s="8" t="s">
        <v>282</v>
      </c>
      <c r="C93" s="8" t="s">
        <v>310</v>
      </c>
      <c r="D93" s="8" t="s">
        <v>284</v>
      </c>
      <c r="E93" s="8">
        <v>4729</v>
      </c>
      <c r="F93" s="9">
        <v>644</v>
      </c>
      <c r="G93" s="10">
        <v>10</v>
      </c>
      <c r="H93" s="10">
        <v>6440</v>
      </c>
      <c r="I93" s="8" t="s">
        <v>1366</v>
      </c>
      <c r="J93" s="8" t="s">
        <v>1367</v>
      </c>
      <c r="K93" s="8" t="s">
        <v>311</v>
      </c>
      <c r="L93" s="8" t="s">
        <v>38</v>
      </c>
      <c r="M93" s="8" t="s">
        <v>312</v>
      </c>
      <c r="N93" s="8" t="s">
        <v>27</v>
      </c>
      <c r="O93" s="8" t="s">
        <v>285</v>
      </c>
      <c r="P93" s="8" t="s">
        <v>38</v>
      </c>
      <c r="Q93" s="11">
        <v>280</v>
      </c>
      <c r="R93" s="11">
        <v>1803200</v>
      </c>
      <c r="S93" s="9">
        <v>25</v>
      </c>
      <c r="T93" s="8" t="s">
        <v>79</v>
      </c>
      <c r="U93" s="9">
        <v>644</v>
      </c>
      <c r="V93" s="8" t="s">
        <v>1347</v>
      </c>
      <c r="W93" s="8" t="s">
        <v>313</v>
      </c>
    </row>
    <row r="94" spans="1:23" x14ac:dyDescent="0.3">
      <c r="A94" s="2" t="s">
        <v>314</v>
      </c>
      <c r="B94" s="3" t="s">
        <v>282</v>
      </c>
      <c r="C94" s="3" t="s">
        <v>315</v>
      </c>
      <c r="D94" s="3" t="s">
        <v>316</v>
      </c>
      <c r="E94" s="3">
        <v>4950</v>
      </c>
      <c r="F94" s="4">
        <v>14</v>
      </c>
      <c r="G94" s="5">
        <v>25</v>
      </c>
      <c r="H94" s="5">
        <v>350</v>
      </c>
      <c r="I94" s="3" t="s">
        <v>1366</v>
      </c>
      <c r="J94" s="3" t="s">
        <v>1372</v>
      </c>
      <c r="K94" s="3" t="s">
        <v>317</v>
      </c>
      <c r="L94" s="3" t="s">
        <v>38</v>
      </c>
      <c r="M94" s="3" t="s">
        <v>318</v>
      </c>
      <c r="N94" s="3" t="s">
        <v>27</v>
      </c>
      <c r="O94" s="3" t="s">
        <v>285</v>
      </c>
      <c r="P94" s="3" t="s">
        <v>38</v>
      </c>
      <c r="Q94" s="6">
        <v>109.8</v>
      </c>
      <c r="R94" s="6">
        <v>38430</v>
      </c>
      <c r="S94" s="4">
        <v>23</v>
      </c>
      <c r="T94" s="3" t="s">
        <v>79</v>
      </c>
      <c r="U94" s="4">
        <v>14</v>
      </c>
      <c r="V94" s="3" t="s">
        <v>319</v>
      </c>
      <c r="W94" s="3" t="s">
        <v>320</v>
      </c>
    </row>
    <row r="95" spans="1:23" x14ac:dyDescent="0.3">
      <c r="A95" s="7" t="s">
        <v>321</v>
      </c>
      <c r="B95" s="8" t="s">
        <v>282</v>
      </c>
      <c r="C95" s="8" t="s">
        <v>322</v>
      </c>
      <c r="D95" s="8" t="s">
        <v>323</v>
      </c>
      <c r="E95" s="8">
        <v>5109</v>
      </c>
      <c r="F95" s="9">
        <v>1300</v>
      </c>
      <c r="G95" s="10">
        <v>12.5</v>
      </c>
      <c r="H95" s="10">
        <v>16250</v>
      </c>
      <c r="I95" s="8" t="s">
        <v>1366</v>
      </c>
      <c r="J95" s="8" t="s">
        <v>1157</v>
      </c>
      <c r="K95" s="8" t="s">
        <v>324</v>
      </c>
      <c r="L95" s="8" t="s">
        <v>38</v>
      </c>
      <c r="M95" s="8" t="s">
        <v>325</v>
      </c>
      <c r="N95" s="8" t="s">
        <v>27</v>
      </c>
      <c r="O95" s="8" t="s">
        <v>285</v>
      </c>
      <c r="P95" s="8" t="s">
        <v>38</v>
      </c>
      <c r="Q95" s="11">
        <v>85</v>
      </c>
      <c r="R95" s="11">
        <v>1381250</v>
      </c>
      <c r="S95" s="9">
        <v>21</v>
      </c>
      <c r="T95" s="8" t="s">
        <v>79</v>
      </c>
      <c r="U95" s="9">
        <v>1300</v>
      </c>
      <c r="V95" s="8" t="s">
        <v>326</v>
      </c>
      <c r="W95" s="8" t="s">
        <v>327</v>
      </c>
    </row>
    <row r="96" spans="1:23" x14ac:dyDescent="0.3">
      <c r="A96" s="2" t="s">
        <v>321</v>
      </c>
      <c r="B96" s="3" t="s">
        <v>282</v>
      </c>
      <c r="C96" s="3" t="s">
        <v>322</v>
      </c>
      <c r="D96" s="3" t="s">
        <v>328</v>
      </c>
      <c r="E96" s="3">
        <v>5110</v>
      </c>
      <c r="F96" s="4">
        <v>200</v>
      </c>
      <c r="G96" s="5">
        <v>4.8</v>
      </c>
      <c r="H96" s="5">
        <v>960</v>
      </c>
      <c r="I96" s="3" t="s">
        <v>1366</v>
      </c>
      <c r="J96" s="3" t="s">
        <v>1372</v>
      </c>
      <c r="K96" s="3" t="s">
        <v>329</v>
      </c>
      <c r="L96" s="3" t="s">
        <v>330</v>
      </c>
      <c r="M96" s="3" t="s">
        <v>331</v>
      </c>
      <c r="N96" s="3" t="s">
        <v>27</v>
      </c>
      <c r="O96" s="3" t="s">
        <v>285</v>
      </c>
      <c r="P96" s="3" t="s">
        <v>28</v>
      </c>
      <c r="Q96" s="6">
        <v>206</v>
      </c>
      <c r="R96" s="6">
        <v>197760</v>
      </c>
      <c r="S96" s="4">
        <v>21</v>
      </c>
      <c r="T96" s="3" t="s">
        <v>79</v>
      </c>
      <c r="U96" s="4">
        <v>200</v>
      </c>
      <c r="V96" s="3" t="s">
        <v>332</v>
      </c>
      <c r="W96" s="3" t="s">
        <v>333</v>
      </c>
    </row>
    <row r="97" spans="1:23" x14ac:dyDescent="0.3">
      <c r="A97" s="7" t="s">
        <v>334</v>
      </c>
      <c r="B97" s="8" t="s">
        <v>282</v>
      </c>
      <c r="C97" s="8" t="s">
        <v>335</v>
      </c>
      <c r="D97" s="8" t="s">
        <v>284</v>
      </c>
      <c r="E97" s="8">
        <v>6364</v>
      </c>
      <c r="F97" s="9">
        <v>750</v>
      </c>
      <c r="G97" s="10">
        <v>10</v>
      </c>
      <c r="H97" s="10">
        <v>7500</v>
      </c>
      <c r="I97" s="8" t="s">
        <v>1366</v>
      </c>
      <c r="J97" s="8" t="s">
        <v>1368</v>
      </c>
      <c r="K97" s="8" t="s">
        <v>336</v>
      </c>
      <c r="L97" s="8" t="s">
        <v>38</v>
      </c>
      <c r="M97" s="8" t="s">
        <v>337</v>
      </c>
      <c r="N97" s="8" t="s">
        <v>27</v>
      </c>
      <c r="O97" s="8" t="s">
        <v>285</v>
      </c>
      <c r="P97" s="8" t="s">
        <v>38</v>
      </c>
      <c r="Q97" s="11">
        <v>175</v>
      </c>
      <c r="R97" s="11">
        <v>1312500</v>
      </c>
      <c r="S97" s="9">
        <v>11</v>
      </c>
      <c r="T97" s="8" t="s">
        <v>79</v>
      </c>
      <c r="U97" s="9">
        <v>750</v>
      </c>
      <c r="V97" s="8" t="s">
        <v>338</v>
      </c>
      <c r="W97" s="8" t="s">
        <v>339</v>
      </c>
    </row>
    <row r="98" spans="1:23" x14ac:dyDescent="0.3">
      <c r="A98" s="2" t="s">
        <v>334</v>
      </c>
      <c r="B98" s="3" t="s">
        <v>282</v>
      </c>
      <c r="C98" s="3" t="s">
        <v>335</v>
      </c>
      <c r="D98" s="3" t="s">
        <v>284</v>
      </c>
      <c r="E98" s="3">
        <v>6366</v>
      </c>
      <c r="F98" s="4">
        <v>90</v>
      </c>
      <c r="G98" s="5">
        <v>10</v>
      </c>
      <c r="H98" s="5">
        <v>900</v>
      </c>
      <c r="I98" s="3" t="s">
        <v>1366</v>
      </c>
      <c r="J98" s="3" t="s">
        <v>1367</v>
      </c>
      <c r="K98" s="3" t="s">
        <v>311</v>
      </c>
      <c r="L98" s="3" t="s">
        <v>38</v>
      </c>
      <c r="M98" s="3" t="s">
        <v>312</v>
      </c>
      <c r="N98" s="3" t="s">
        <v>27</v>
      </c>
      <c r="O98" s="3" t="s">
        <v>285</v>
      </c>
      <c r="P98" s="3" t="s">
        <v>38</v>
      </c>
      <c r="Q98" s="6">
        <v>280</v>
      </c>
      <c r="R98" s="6">
        <v>252000</v>
      </c>
      <c r="S98" s="4">
        <v>11</v>
      </c>
      <c r="T98" s="3" t="s">
        <v>79</v>
      </c>
      <c r="U98" s="4">
        <v>90</v>
      </c>
      <c r="V98" s="3" t="s">
        <v>340</v>
      </c>
      <c r="W98" s="3" t="s">
        <v>339</v>
      </c>
    </row>
    <row r="99" spans="1:23" x14ac:dyDescent="0.3">
      <c r="A99" s="7" t="s">
        <v>341</v>
      </c>
      <c r="B99" s="8" t="s">
        <v>282</v>
      </c>
      <c r="C99" s="8" t="s">
        <v>342</v>
      </c>
      <c r="D99" s="8" t="s">
        <v>343</v>
      </c>
      <c r="E99" s="8">
        <v>6833</v>
      </c>
      <c r="F99" s="9">
        <v>58</v>
      </c>
      <c r="G99" s="10">
        <v>12.5</v>
      </c>
      <c r="H99" s="10">
        <v>725</v>
      </c>
      <c r="I99" s="8" t="s">
        <v>1366</v>
      </c>
      <c r="J99" s="8" t="s">
        <v>1157</v>
      </c>
      <c r="K99" s="8" t="s">
        <v>344</v>
      </c>
      <c r="L99" s="8" t="s">
        <v>38</v>
      </c>
      <c r="M99" s="8" t="s">
        <v>325</v>
      </c>
      <c r="N99" s="8" t="s">
        <v>27</v>
      </c>
      <c r="O99" s="8" t="s">
        <v>285</v>
      </c>
      <c r="P99" s="8" t="s">
        <v>38</v>
      </c>
      <c r="Q99" s="11">
        <v>95</v>
      </c>
      <c r="R99" s="11">
        <v>68875</v>
      </c>
      <c r="S99" s="9">
        <v>7</v>
      </c>
      <c r="T99" s="8" t="s">
        <v>79</v>
      </c>
      <c r="U99" s="9">
        <v>58</v>
      </c>
      <c r="V99" s="8" t="s">
        <v>345</v>
      </c>
      <c r="W99" s="8" t="s">
        <v>346</v>
      </c>
    </row>
    <row r="100" spans="1:23" x14ac:dyDescent="0.3">
      <c r="A100" s="2" t="s">
        <v>347</v>
      </c>
      <c r="B100" s="3" t="s">
        <v>282</v>
      </c>
      <c r="C100" s="3" t="s">
        <v>348</v>
      </c>
      <c r="D100" s="3" t="s">
        <v>349</v>
      </c>
      <c r="E100" s="3">
        <v>56059</v>
      </c>
      <c r="F100" s="4">
        <v>37</v>
      </c>
      <c r="G100" s="5">
        <v>10</v>
      </c>
      <c r="H100" s="5">
        <v>370</v>
      </c>
      <c r="I100" s="3" t="s">
        <v>1366</v>
      </c>
      <c r="J100" s="3" t="s">
        <v>1367</v>
      </c>
      <c r="K100" s="3" t="s">
        <v>350</v>
      </c>
      <c r="L100" s="3" t="s">
        <v>38</v>
      </c>
      <c r="M100" s="3" t="s">
        <v>351</v>
      </c>
      <c r="N100" s="3" t="s">
        <v>27</v>
      </c>
      <c r="O100" s="3" t="s">
        <v>285</v>
      </c>
      <c r="P100" s="3" t="s">
        <v>38</v>
      </c>
      <c r="Q100" s="6">
        <v>215</v>
      </c>
      <c r="R100" s="6">
        <v>79550</v>
      </c>
      <c r="S100" s="4">
        <v>1036</v>
      </c>
      <c r="T100" s="3" t="s">
        <v>29</v>
      </c>
      <c r="U100" s="4">
        <v>37</v>
      </c>
      <c r="V100" s="3" t="s">
        <v>352</v>
      </c>
      <c r="W100" s="3" t="s">
        <v>353</v>
      </c>
    </row>
    <row r="101" spans="1:23" x14ac:dyDescent="0.3">
      <c r="A101" s="7" t="s">
        <v>354</v>
      </c>
      <c r="B101" s="8" t="s">
        <v>282</v>
      </c>
      <c r="C101" s="8" t="s">
        <v>355</v>
      </c>
      <c r="D101" s="8" t="s">
        <v>349</v>
      </c>
      <c r="E101" s="8">
        <v>93289</v>
      </c>
      <c r="F101" s="9">
        <v>114</v>
      </c>
      <c r="G101" s="10">
        <v>10</v>
      </c>
      <c r="H101" s="10">
        <v>1140</v>
      </c>
      <c r="I101" s="8" t="s">
        <v>1366</v>
      </c>
      <c r="J101" s="8" t="s">
        <v>1367</v>
      </c>
      <c r="K101" s="8" t="s">
        <v>350</v>
      </c>
      <c r="L101" s="8" t="s">
        <v>38</v>
      </c>
      <c r="M101" s="8" t="s">
        <v>351</v>
      </c>
      <c r="N101" s="8" t="s">
        <v>27</v>
      </c>
      <c r="O101" s="8" t="s">
        <v>285</v>
      </c>
      <c r="P101" s="8" t="s">
        <v>38</v>
      </c>
      <c r="Q101" s="11">
        <v>215</v>
      </c>
      <c r="R101" s="11">
        <v>245100</v>
      </c>
      <c r="S101" s="9">
        <v>667</v>
      </c>
      <c r="T101" s="8" t="s">
        <v>356</v>
      </c>
      <c r="U101" s="9">
        <v>114</v>
      </c>
      <c r="V101" s="8" t="s">
        <v>357</v>
      </c>
      <c r="W101" s="8" t="s">
        <v>1428</v>
      </c>
    </row>
    <row r="102" spans="1:23" x14ac:dyDescent="0.3">
      <c r="A102" s="2" t="s">
        <v>354</v>
      </c>
      <c r="B102" s="3" t="s">
        <v>282</v>
      </c>
      <c r="C102" s="3" t="s">
        <v>355</v>
      </c>
      <c r="D102" s="3" t="s">
        <v>349</v>
      </c>
      <c r="E102" s="3">
        <v>93289</v>
      </c>
      <c r="F102" s="4">
        <v>77</v>
      </c>
      <c r="G102" s="5">
        <v>10</v>
      </c>
      <c r="H102" s="5">
        <v>770</v>
      </c>
      <c r="I102" s="3" t="s">
        <v>1366</v>
      </c>
      <c r="J102" s="3" t="s">
        <v>1367</v>
      </c>
      <c r="K102" s="3" t="s">
        <v>350</v>
      </c>
      <c r="L102" s="3" t="s">
        <v>38</v>
      </c>
      <c r="M102" s="3" t="s">
        <v>351</v>
      </c>
      <c r="N102" s="3" t="s">
        <v>27</v>
      </c>
      <c r="O102" s="3" t="s">
        <v>285</v>
      </c>
      <c r="P102" s="3" t="s">
        <v>38</v>
      </c>
      <c r="Q102" s="6">
        <v>215</v>
      </c>
      <c r="R102" s="6">
        <v>165550</v>
      </c>
      <c r="S102" s="4">
        <v>667</v>
      </c>
      <c r="T102" s="3" t="s">
        <v>356</v>
      </c>
      <c r="U102" s="4">
        <v>77</v>
      </c>
      <c r="V102" s="3" t="s">
        <v>358</v>
      </c>
      <c r="W102" s="3" t="s">
        <v>760</v>
      </c>
    </row>
    <row r="103" spans="1:23" x14ac:dyDescent="0.3">
      <c r="A103" s="7" t="s">
        <v>359</v>
      </c>
      <c r="B103" s="8" t="s">
        <v>282</v>
      </c>
      <c r="C103" s="8" t="s">
        <v>360</v>
      </c>
      <c r="D103" s="8" t="s">
        <v>361</v>
      </c>
      <c r="E103" s="8">
        <v>123525</v>
      </c>
      <c r="F103" s="9">
        <v>918</v>
      </c>
      <c r="G103" s="10">
        <v>10</v>
      </c>
      <c r="H103" s="10">
        <v>9180</v>
      </c>
      <c r="I103" s="8" t="s">
        <v>1366</v>
      </c>
      <c r="J103" s="8" t="s">
        <v>1367</v>
      </c>
      <c r="K103" s="8" t="s">
        <v>350</v>
      </c>
      <c r="L103" s="8" t="s">
        <v>38</v>
      </c>
      <c r="M103" s="8" t="s">
        <v>351</v>
      </c>
      <c r="N103" s="8" t="s">
        <v>27</v>
      </c>
      <c r="O103" s="8" t="s">
        <v>285</v>
      </c>
      <c r="P103" s="8" t="s">
        <v>38</v>
      </c>
      <c r="Q103" s="11">
        <v>215</v>
      </c>
      <c r="R103" s="11">
        <v>1973700</v>
      </c>
      <c r="S103" s="9">
        <v>531</v>
      </c>
      <c r="T103" s="8" t="s">
        <v>36</v>
      </c>
      <c r="U103" s="9">
        <v>918</v>
      </c>
      <c r="V103" s="8" t="s">
        <v>362</v>
      </c>
      <c r="W103" s="8" t="s">
        <v>363</v>
      </c>
    </row>
    <row r="104" spans="1:23" x14ac:dyDescent="0.3">
      <c r="A104" s="2" t="s">
        <v>359</v>
      </c>
      <c r="B104" s="3" t="s">
        <v>282</v>
      </c>
      <c r="C104" s="3" t="s">
        <v>360</v>
      </c>
      <c r="D104" s="3" t="s">
        <v>361</v>
      </c>
      <c r="E104" s="3">
        <v>123526</v>
      </c>
      <c r="F104" s="4">
        <v>60</v>
      </c>
      <c r="G104" s="5">
        <v>10</v>
      </c>
      <c r="H104" s="5">
        <v>600</v>
      </c>
      <c r="I104" s="3" t="s">
        <v>1366</v>
      </c>
      <c r="J104" s="3" t="s">
        <v>1368</v>
      </c>
      <c r="K104" s="3" t="s">
        <v>336</v>
      </c>
      <c r="L104" s="3" t="s">
        <v>38</v>
      </c>
      <c r="M104" s="3" t="s">
        <v>337</v>
      </c>
      <c r="N104" s="3" t="s">
        <v>27</v>
      </c>
      <c r="O104" s="3" t="s">
        <v>285</v>
      </c>
      <c r="P104" s="3" t="s">
        <v>38</v>
      </c>
      <c r="Q104" s="6">
        <v>116.6</v>
      </c>
      <c r="R104" s="6">
        <v>69960</v>
      </c>
      <c r="S104" s="4">
        <v>531</v>
      </c>
      <c r="T104" s="3" t="s">
        <v>36</v>
      </c>
      <c r="U104" s="4">
        <v>60</v>
      </c>
      <c r="V104" s="3" t="s">
        <v>364</v>
      </c>
      <c r="W104" s="3" t="s">
        <v>365</v>
      </c>
    </row>
    <row r="105" spans="1:23" x14ac:dyDescent="0.3">
      <c r="A105" s="7" t="s">
        <v>366</v>
      </c>
      <c r="B105" s="8" t="s">
        <v>282</v>
      </c>
      <c r="C105" s="8" t="s">
        <v>367</v>
      </c>
      <c r="D105" s="8" t="s">
        <v>368</v>
      </c>
      <c r="E105" s="8">
        <v>133830</v>
      </c>
      <c r="F105" s="9">
        <v>119</v>
      </c>
      <c r="G105" s="10">
        <v>8</v>
      </c>
      <c r="H105" s="10">
        <v>952</v>
      </c>
      <c r="I105" s="8" t="s">
        <v>1366</v>
      </c>
      <c r="J105" s="8" t="s">
        <v>1014</v>
      </c>
      <c r="K105" s="8" t="s">
        <v>369</v>
      </c>
      <c r="L105" s="8" t="s">
        <v>370</v>
      </c>
      <c r="M105" s="8" t="s">
        <v>371</v>
      </c>
      <c r="N105" s="8" t="s">
        <v>27</v>
      </c>
      <c r="O105" s="8" t="s">
        <v>285</v>
      </c>
      <c r="P105" s="8" t="s">
        <v>372</v>
      </c>
      <c r="Q105" s="11">
        <v>817</v>
      </c>
      <c r="R105" s="11">
        <v>777784</v>
      </c>
      <c r="S105" s="9">
        <v>453</v>
      </c>
      <c r="T105" s="8" t="s">
        <v>36</v>
      </c>
      <c r="U105" s="9">
        <v>119</v>
      </c>
      <c r="V105" s="8" t="s">
        <v>373</v>
      </c>
      <c r="W105" s="8" t="s">
        <v>374</v>
      </c>
    </row>
    <row r="106" spans="1:23" x14ac:dyDescent="0.3">
      <c r="A106" s="2" t="s">
        <v>375</v>
      </c>
      <c r="B106" s="3" t="s">
        <v>282</v>
      </c>
      <c r="C106" s="3" t="s">
        <v>376</v>
      </c>
      <c r="D106" s="3" t="s">
        <v>284</v>
      </c>
      <c r="E106" s="3">
        <v>138382</v>
      </c>
      <c r="F106" s="4">
        <v>3</v>
      </c>
      <c r="G106" s="5">
        <v>10</v>
      </c>
      <c r="H106" s="5">
        <v>30</v>
      </c>
      <c r="I106" s="3" t="s">
        <v>1366</v>
      </c>
      <c r="J106" s="3" t="s">
        <v>1368</v>
      </c>
      <c r="K106" s="3" t="s">
        <v>336</v>
      </c>
      <c r="L106" s="3" t="s">
        <v>38</v>
      </c>
      <c r="M106" s="3" t="s">
        <v>337</v>
      </c>
      <c r="N106" s="3" t="s">
        <v>27</v>
      </c>
      <c r="O106" s="3" t="s">
        <v>285</v>
      </c>
      <c r="P106" s="3" t="s">
        <v>38</v>
      </c>
      <c r="Q106" s="6">
        <v>127</v>
      </c>
      <c r="R106" s="6">
        <v>3810</v>
      </c>
      <c r="S106" s="4">
        <v>413</v>
      </c>
      <c r="T106" s="3" t="s">
        <v>36</v>
      </c>
      <c r="U106" s="4">
        <v>3</v>
      </c>
      <c r="V106" s="3" t="s">
        <v>1348</v>
      </c>
      <c r="W106" s="3" t="s">
        <v>377</v>
      </c>
    </row>
    <row r="107" spans="1:23" x14ac:dyDescent="0.3">
      <c r="A107" s="7" t="s">
        <v>378</v>
      </c>
      <c r="B107" s="8" t="s">
        <v>282</v>
      </c>
      <c r="C107" s="8" t="s">
        <v>379</v>
      </c>
      <c r="D107" s="8" t="s">
        <v>284</v>
      </c>
      <c r="E107" s="8">
        <v>142972</v>
      </c>
      <c r="F107" s="9">
        <v>50</v>
      </c>
      <c r="G107" s="10">
        <v>10</v>
      </c>
      <c r="H107" s="10">
        <v>500</v>
      </c>
      <c r="I107" s="8" t="s">
        <v>1366</v>
      </c>
      <c r="J107" s="8" t="s">
        <v>1367</v>
      </c>
      <c r="K107" s="8" t="s">
        <v>311</v>
      </c>
      <c r="L107" s="8" t="s">
        <v>38</v>
      </c>
      <c r="M107" s="8" t="s">
        <v>312</v>
      </c>
      <c r="N107" s="8" t="s">
        <v>27</v>
      </c>
      <c r="O107" s="8" t="s">
        <v>285</v>
      </c>
      <c r="P107" s="8" t="s">
        <v>38</v>
      </c>
      <c r="Q107" s="11">
        <v>270</v>
      </c>
      <c r="R107" s="11">
        <v>135000</v>
      </c>
      <c r="S107" s="9">
        <v>374</v>
      </c>
      <c r="T107" s="8" t="s">
        <v>36</v>
      </c>
      <c r="U107" s="9">
        <v>50</v>
      </c>
      <c r="V107" s="8" t="e">
        <f>VLOOKUP(E107,'[1]Consolidated Stock'!$E:$V,18,0)</f>
        <v>#N/A</v>
      </c>
      <c r="W107" s="8" t="s">
        <v>380</v>
      </c>
    </row>
    <row r="108" spans="1:23" x14ac:dyDescent="0.3">
      <c r="A108" s="2" t="s">
        <v>381</v>
      </c>
      <c r="B108" s="3" t="s">
        <v>282</v>
      </c>
      <c r="C108" s="3" t="s">
        <v>382</v>
      </c>
      <c r="D108" s="3" t="s">
        <v>383</v>
      </c>
      <c r="E108" s="3">
        <v>147739</v>
      </c>
      <c r="F108" s="4">
        <v>32</v>
      </c>
      <c r="G108" s="5">
        <v>10</v>
      </c>
      <c r="H108" s="5">
        <v>320</v>
      </c>
      <c r="I108" s="3" t="s">
        <v>1366</v>
      </c>
      <c r="J108" s="3" t="s">
        <v>1367</v>
      </c>
      <c r="K108" s="3" t="s">
        <v>311</v>
      </c>
      <c r="L108" s="3" t="s">
        <v>38</v>
      </c>
      <c r="M108" s="3" t="s">
        <v>312</v>
      </c>
      <c r="N108" s="3" t="s">
        <v>27</v>
      </c>
      <c r="O108" s="3" t="s">
        <v>285</v>
      </c>
      <c r="P108" s="3" t="s">
        <v>38</v>
      </c>
      <c r="Q108" s="6">
        <v>270</v>
      </c>
      <c r="R108" s="6">
        <v>86400</v>
      </c>
      <c r="S108" s="4">
        <v>330</v>
      </c>
      <c r="T108" s="3" t="s">
        <v>53</v>
      </c>
      <c r="U108" s="4">
        <v>32</v>
      </c>
      <c r="V108" s="3" t="s">
        <v>384</v>
      </c>
      <c r="W108" s="3" t="s">
        <v>385</v>
      </c>
    </row>
    <row r="109" spans="1:23" x14ac:dyDescent="0.3">
      <c r="A109" s="7" t="s">
        <v>386</v>
      </c>
      <c r="B109" s="8" t="s">
        <v>282</v>
      </c>
      <c r="C109" s="8" t="s">
        <v>387</v>
      </c>
      <c r="D109" s="8" t="s">
        <v>284</v>
      </c>
      <c r="E109" s="8">
        <v>156985</v>
      </c>
      <c r="F109" s="9">
        <v>599</v>
      </c>
      <c r="G109" s="10">
        <v>10</v>
      </c>
      <c r="H109" s="10">
        <v>5990</v>
      </c>
      <c r="I109" s="8" t="s">
        <v>1366</v>
      </c>
      <c r="J109" s="8" t="s">
        <v>1367</v>
      </c>
      <c r="K109" s="8" t="s">
        <v>311</v>
      </c>
      <c r="L109" s="8" t="s">
        <v>38</v>
      </c>
      <c r="M109" s="8" t="s">
        <v>312</v>
      </c>
      <c r="N109" s="8" t="s">
        <v>27</v>
      </c>
      <c r="O109" s="8" t="s">
        <v>285</v>
      </c>
      <c r="P109" s="8" t="s">
        <v>38</v>
      </c>
      <c r="Q109" s="11">
        <v>280</v>
      </c>
      <c r="R109" s="11">
        <v>1677200</v>
      </c>
      <c r="S109" s="9">
        <v>243</v>
      </c>
      <c r="T109" s="8" t="s">
        <v>53</v>
      </c>
      <c r="U109" s="9">
        <v>599</v>
      </c>
      <c r="V109" s="8" t="e">
        <f>VLOOKUP(E109,'[1]Consolidated Stock'!$E:$V,18,0)</f>
        <v>#N/A</v>
      </c>
      <c r="W109" s="8" t="s">
        <v>388</v>
      </c>
    </row>
    <row r="110" spans="1:23" x14ac:dyDescent="0.3">
      <c r="A110" s="2" t="s">
        <v>389</v>
      </c>
      <c r="B110" s="3" t="s">
        <v>282</v>
      </c>
      <c r="C110" s="3" t="s">
        <v>390</v>
      </c>
      <c r="D110" s="3" t="s">
        <v>284</v>
      </c>
      <c r="E110" s="3">
        <v>164985</v>
      </c>
      <c r="F110" s="4">
        <v>313</v>
      </c>
      <c r="G110" s="5">
        <v>6.8</v>
      </c>
      <c r="H110" s="5">
        <v>2128.4</v>
      </c>
      <c r="I110" s="3" t="s">
        <v>1366</v>
      </c>
      <c r="J110" s="3" t="s">
        <v>247</v>
      </c>
      <c r="K110" s="3" t="s">
        <v>58</v>
      </c>
      <c r="L110" s="3" t="s">
        <v>28</v>
      </c>
      <c r="M110" s="3" t="s">
        <v>59</v>
      </c>
      <c r="N110" s="3" t="s">
        <v>27</v>
      </c>
      <c r="O110" s="3" t="s">
        <v>285</v>
      </c>
      <c r="P110" s="3" t="s">
        <v>28</v>
      </c>
      <c r="Q110" s="6">
        <v>200</v>
      </c>
      <c r="R110" s="6">
        <v>425680</v>
      </c>
      <c r="S110" s="4">
        <v>202</v>
      </c>
      <c r="T110" s="3" t="s">
        <v>53</v>
      </c>
      <c r="U110" s="4">
        <v>313</v>
      </c>
      <c r="V110" s="3" t="e">
        <f>VLOOKUP(E110,'[1]Consolidated Stock'!$E:$V,18,0)</f>
        <v>#N/A</v>
      </c>
      <c r="W110" s="3" t="s">
        <v>391</v>
      </c>
    </row>
    <row r="111" spans="1:23" x14ac:dyDescent="0.3">
      <c r="A111" s="7" t="s">
        <v>392</v>
      </c>
      <c r="B111" s="8" t="s">
        <v>282</v>
      </c>
      <c r="C111" s="8" t="s">
        <v>393</v>
      </c>
      <c r="D111" s="8" t="s">
        <v>284</v>
      </c>
      <c r="E111" s="8">
        <v>176443</v>
      </c>
      <c r="F111" s="9">
        <v>3</v>
      </c>
      <c r="G111" s="10">
        <v>25</v>
      </c>
      <c r="H111" s="10">
        <v>75</v>
      </c>
      <c r="I111" s="8" t="s">
        <v>1366</v>
      </c>
      <c r="J111" s="8" t="s">
        <v>1372</v>
      </c>
      <c r="K111" s="8" t="s">
        <v>317</v>
      </c>
      <c r="L111" s="8" t="s">
        <v>38</v>
      </c>
      <c r="M111" s="8" t="s">
        <v>318</v>
      </c>
      <c r="N111" s="8" t="s">
        <v>27</v>
      </c>
      <c r="O111" s="8" t="s">
        <v>285</v>
      </c>
      <c r="P111" s="8" t="s">
        <v>38</v>
      </c>
      <c r="Q111" s="11">
        <v>109.8</v>
      </c>
      <c r="R111" s="11">
        <v>8235</v>
      </c>
      <c r="S111" s="9">
        <v>140</v>
      </c>
      <c r="T111" s="8" t="s">
        <v>79</v>
      </c>
      <c r="U111" s="9">
        <v>3</v>
      </c>
      <c r="V111" s="8" t="e">
        <f>VLOOKUP(E111,'[1]Consolidated Stock'!$E:$V,18,0)</f>
        <v>#N/A</v>
      </c>
      <c r="W111" s="8" t="s">
        <v>394</v>
      </c>
    </row>
    <row r="112" spans="1:23" x14ac:dyDescent="0.3">
      <c r="A112" s="2" t="s">
        <v>395</v>
      </c>
      <c r="B112" s="3" t="s">
        <v>282</v>
      </c>
      <c r="C112" s="3" t="s">
        <v>396</v>
      </c>
      <c r="D112" s="3" t="s">
        <v>284</v>
      </c>
      <c r="E112" s="3">
        <v>186079</v>
      </c>
      <c r="F112" s="4">
        <v>907</v>
      </c>
      <c r="G112" s="5">
        <v>6.5119999999999996</v>
      </c>
      <c r="H112" s="5">
        <v>5906.384</v>
      </c>
      <c r="I112" s="3" t="s">
        <v>1366</v>
      </c>
      <c r="J112" s="3" t="s">
        <v>247</v>
      </c>
      <c r="K112" s="3" t="s">
        <v>58</v>
      </c>
      <c r="L112" s="3" t="s">
        <v>221</v>
      </c>
      <c r="M112" s="3" t="s">
        <v>59</v>
      </c>
      <c r="N112" s="3" t="s">
        <v>27</v>
      </c>
      <c r="O112" s="3" t="s">
        <v>285</v>
      </c>
      <c r="P112" s="3" t="s">
        <v>28</v>
      </c>
      <c r="Q112" s="6">
        <v>215</v>
      </c>
      <c r="R112" s="6">
        <v>1269872.56</v>
      </c>
      <c r="S112" s="4">
        <v>56</v>
      </c>
      <c r="T112" s="3" t="s">
        <v>79</v>
      </c>
      <c r="U112" s="4">
        <v>907</v>
      </c>
      <c r="V112" s="3" t="e">
        <f>VLOOKUP(E112,'[1]Consolidated Stock'!$E:$V,18,0)</f>
        <v>#N/A</v>
      </c>
      <c r="W112" s="3" t="s">
        <v>1426</v>
      </c>
    </row>
    <row r="113" spans="1:23" x14ac:dyDescent="0.3">
      <c r="A113" s="7" t="s">
        <v>395</v>
      </c>
      <c r="B113" s="8" t="s">
        <v>282</v>
      </c>
      <c r="C113" s="8" t="s">
        <v>396</v>
      </c>
      <c r="D113" s="8" t="s">
        <v>284</v>
      </c>
      <c r="E113" s="8">
        <v>186079</v>
      </c>
      <c r="F113" s="9">
        <v>2450</v>
      </c>
      <c r="G113" s="10">
        <v>6.5119999999999996</v>
      </c>
      <c r="H113" s="10">
        <v>15954.4</v>
      </c>
      <c r="I113" s="8" t="s">
        <v>1366</v>
      </c>
      <c r="J113" s="8" t="s">
        <v>247</v>
      </c>
      <c r="K113" s="8" t="s">
        <v>58</v>
      </c>
      <c r="L113" s="8" t="s">
        <v>221</v>
      </c>
      <c r="M113" s="8" t="s">
        <v>59</v>
      </c>
      <c r="N113" s="8" t="s">
        <v>27</v>
      </c>
      <c r="O113" s="8" t="s">
        <v>285</v>
      </c>
      <c r="P113" s="8" t="s">
        <v>28</v>
      </c>
      <c r="Q113" s="11">
        <v>215</v>
      </c>
      <c r="R113" s="11">
        <v>3430196</v>
      </c>
      <c r="S113" s="9">
        <v>56</v>
      </c>
      <c r="T113" s="8" t="s">
        <v>79</v>
      </c>
      <c r="U113" s="9">
        <v>2450</v>
      </c>
      <c r="V113" s="8" t="e">
        <f>VLOOKUP(E113,'[1]Consolidated Stock'!$E:$V,18,0)</f>
        <v>#N/A</v>
      </c>
      <c r="W113" s="8" t="s">
        <v>1427</v>
      </c>
    </row>
    <row r="114" spans="1:23" x14ac:dyDescent="0.3">
      <c r="A114" s="2" t="s">
        <v>397</v>
      </c>
      <c r="B114" s="3" t="s">
        <v>398</v>
      </c>
      <c r="C114" s="3" t="s">
        <v>399</v>
      </c>
      <c r="D114" s="3" t="s">
        <v>284</v>
      </c>
      <c r="E114" s="3">
        <v>2056</v>
      </c>
      <c r="F114" s="4">
        <v>5</v>
      </c>
      <c r="G114" s="5">
        <v>5</v>
      </c>
      <c r="H114" s="5">
        <v>25</v>
      </c>
      <c r="I114" s="3" t="s">
        <v>1366</v>
      </c>
      <c r="J114" s="3" t="s">
        <v>139</v>
      </c>
      <c r="K114" s="3" t="s">
        <v>139</v>
      </c>
      <c r="L114" s="3" t="s">
        <v>139</v>
      </c>
      <c r="M114" s="3" t="s">
        <v>400</v>
      </c>
      <c r="N114" s="3" t="s">
        <v>27</v>
      </c>
      <c r="O114" s="3" t="s">
        <v>285</v>
      </c>
      <c r="P114" s="3" t="s">
        <v>28</v>
      </c>
      <c r="Q114" s="6">
        <v>187.5</v>
      </c>
      <c r="R114" s="6">
        <v>4687.5</v>
      </c>
      <c r="S114" s="4">
        <v>390</v>
      </c>
      <c r="T114" s="3" t="s">
        <v>36</v>
      </c>
      <c r="U114" s="4">
        <v>5</v>
      </c>
      <c r="V114" s="3" t="e">
        <f>VLOOKUP(E114,'[1]Consolidated Stock'!$E:$V,18,0)</f>
        <v>#N/A</v>
      </c>
      <c r="W114" s="3" t="s">
        <v>401</v>
      </c>
    </row>
    <row r="115" spans="1:23" x14ac:dyDescent="0.3">
      <c r="A115" s="7" t="s">
        <v>402</v>
      </c>
      <c r="B115" s="8" t="s">
        <v>398</v>
      </c>
      <c r="C115" s="8" t="s">
        <v>403</v>
      </c>
      <c r="D115" s="8" t="s">
        <v>284</v>
      </c>
      <c r="E115" s="8">
        <v>9620</v>
      </c>
      <c r="F115" s="9">
        <v>4</v>
      </c>
      <c r="G115" s="10">
        <v>5</v>
      </c>
      <c r="H115" s="10">
        <v>20</v>
      </c>
      <c r="I115" s="8" t="s">
        <v>1366</v>
      </c>
      <c r="J115" s="8" t="s">
        <v>87</v>
      </c>
      <c r="K115" s="8" t="s">
        <v>87</v>
      </c>
      <c r="L115" s="8" t="s">
        <v>40</v>
      </c>
      <c r="M115" s="8" t="s">
        <v>88</v>
      </c>
      <c r="N115" s="8" t="s">
        <v>27</v>
      </c>
      <c r="O115" s="8" t="s">
        <v>285</v>
      </c>
      <c r="P115" s="8" t="s">
        <v>28</v>
      </c>
      <c r="Q115" s="11">
        <v>675</v>
      </c>
      <c r="R115" s="11">
        <v>13500</v>
      </c>
      <c r="S115" s="9">
        <v>187</v>
      </c>
      <c r="T115" s="8" t="s">
        <v>53</v>
      </c>
      <c r="U115" s="9">
        <v>4</v>
      </c>
      <c r="V115" s="8" t="e">
        <f>VLOOKUP(E115,'[1]Consolidated Stock'!$E:$V,18,0)</f>
        <v>#N/A</v>
      </c>
      <c r="W115" s="8" t="s">
        <v>404</v>
      </c>
    </row>
    <row r="116" spans="1:23" x14ac:dyDescent="0.3">
      <c r="A116" s="2" t="s">
        <v>402</v>
      </c>
      <c r="B116" s="3" t="s">
        <v>398</v>
      </c>
      <c r="C116" s="3" t="s">
        <v>403</v>
      </c>
      <c r="D116" s="3" t="s">
        <v>284</v>
      </c>
      <c r="E116" s="3">
        <v>9621</v>
      </c>
      <c r="F116" s="4">
        <v>40</v>
      </c>
      <c r="G116" s="5">
        <v>5</v>
      </c>
      <c r="H116" s="5">
        <v>200</v>
      </c>
      <c r="I116" s="3" t="s">
        <v>1366</v>
      </c>
      <c r="J116" s="3" t="s">
        <v>87</v>
      </c>
      <c r="K116" s="3" t="s">
        <v>87</v>
      </c>
      <c r="L116" s="3" t="s">
        <v>405</v>
      </c>
      <c r="M116" s="3" t="s">
        <v>88</v>
      </c>
      <c r="N116" s="3" t="s">
        <v>27</v>
      </c>
      <c r="O116" s="3" t="s">
        <v>285</v>
      </c>
      <c r="P116" s="3" t="s">
        <v>28</v>
      </c>
      <c r="Q116" s="6">
        <v>675</v>
      </c>
      <c r="R116" s="6">
        <v>135000</v>
      </c>
      <c r="S116" s="4">
        <v>187</v>
      </c>
      <c r="T116" s="3" t="s">
        <v>53</v>
      </c>
      <c r="U116" s="4">
        <v>40</v>
      </c>
      <c r="V116" s="3" t="e">
        <f>VLOOKUP(E116,'[1]Consolidated Stock'!$E:$V,18,0)</f>
        <v>#N/A</v>
      </c>
      <c r="W116" s="3" t="s">
        <v>406</v>
      </c>
    </row>
    <row r="117" spans="1:23" x14ac:dyDescent="0.3">
      <c r="A117" s="7" t="s">
        <v>407</v>
      </c>
      <c r="B117" s="8" t="s">
        <v>398</v>
      </c>
      <c r="C117" s="8" t="s">
        <v>408</v>
      </c>
      <c r="D117" s="8" t="s">
        <v>284</v>
      </c>
      <c r="E117" s="8">
        <v>10798</v>
      </c>
      <c r="F117" s="9">
        <v>15</v>
      </c>
      <c r="G117" s="10">
        <v>5</v>
      </c>
      <c r="H117" s="10">
        <v>75</v>
      </c>
      <c r="I117" s="8" t="s">
        <v>1366</v>
      </c>
      <c r="J117" s="8" t="s">
        <v>87</v>
      </c>
      <c r="K117" s="8" t="s">
        <v>87</v>
      </c>
      <c r="L117" s="8" t="s">
        <v>405</v>
      </c>
      <c r="M117" s="8" t="s">
        <v>88</v>
      </c>
      <c r="N117" s="8" t="s">
        <v>27</v>
      </c>
      <c r="O117" s="8" t="s">
        <v>285</v>
      </c>
      <c r="P117" s="8" t="s">
        <v>28</v>
      </c>
      <c r="Q117" s="11">
        <v>675</v>
      </c>
      <c r="R117" s="11">
        <v>50625</v>
      </c>
      <c r="S117" s="9">
        <v>163</v>
      </c>
      <c r="T117" s="8" t="s">
        <v>79</v>
      </c>
      <c r="U117" s="9">
        <v>15</v>
      </c>
      <c r="V117" s="8" t="e">
        <f>VLOOKUP(E117,'[1]Consolidated Stock'!$E:$V,18,0)</f>
        <v>#N/A</v>
      </c>
      <c r="W117" s="8" t="s">
        <v>409</v>
      </c>
    </row>
    <row r="118" spans="1:23" x14ac:dyDescent="0.3">
      <c r="A118" s="2" t="s">
        <v>407</v>
      </c>
      <c r="B118" s="3" t="s">
        <v>398</v>
      </c>
      <c r="C118" s="3" t="s">
        <v>408</v>
      </c>
      <c r="D118" s="3" t="s">
        <v>284</v>
      </c>
      <c r="E118" s="3">
        <v>10801</v>
      </c>
      <c r="F118" s="4">
        <v>39</v>
      </c>
      <c r="G118" s="5">
        <v>5</v>
      </c>
      <c r="H118" s="5">
        <v>195</v>
      </c>
      <c r="I118" s="3" t="s">
        <v>1366</v>
      </c>
      <c r="J118" s="3" t="s">
        <v>91</v>
      </c>
      <c r="K118" s="3" t="s">
        <v>91</v>
      </c>
      <c r="L118" s="3" t="s">
        <v>91</v>
      </c>
      <c r="M118" s="3" t="s">
        <v>92</v>
      </c>
      <c r="N118" s="3" t="s">
        <v>27</v>
      </c>
      <c r="O118" s="3" t="s">
        <v>285</v>
      </c>
      <c r="P118" s="3" t="s">
        <v>28</v>
      </c>
      <c r="Q118" s="6">
        <v>800</v>
      </c>
      <c r="R118" s="6">
        <v>156000</v>
      </c>
      <c r="S118" s="4">
        <v>163</v>
      </c>
      <c r="T118" s="3" t="s">
        <v>79</v>
      </c>
      <c r="U118" s="4">
        <v>39</v>
      </c>
      <c r="V118" s="3" t="e">
        <f>VLOOKUP(E118,'[1]Consolidated Stock'!$E:$V,18,0)</f>
        <v>#N/A</v>
      </c>
      <c r="W118" s="3" t="s">
        <v>410</v>
      </c>
    </row>
    <row r="119" spans="1:23" x14ac:dyDescent="0.3">
      <c r="A119" s="7" t="s">
        <v>411</v>
      </c>
      <c r="B119" s="8" t="s">
        <v>398</v>
      </c>
      <c r="C119" s="8" t="s">
        <v>412</v>
      </c>
      <c r="D119" s="8" t="s">
        <v>284</v>
      </c>
      <c r="E119" s="8">
        <v>12108</v>
      </c>
      <c r="F119" s="9">
        <v>33</v>
      </c>
      <c r="G119" s="10">
        <v>5</v>
      </c>
      <c r="H119" s="10">
        <v>165</v>
      </c>
      <c r="I119" s="8" t="s">
        <v>1366</v>
      </c>
      <c r="J119" s="8" t="s">
        <v>87</v>
      </c>
      <c r="K119" s="8" t="s">
        <v>87</v>
      </c>
      <c r="L119" s="8" t="s">
        <v>405</v>
      </c>
      <c r="M119" s="8" t="s">
        <v>88</v>
      </c>
      <c r="N119" s="8" t="s">
        <v>27</v>
      </c>
      <c r="O119" s="8" t="s">
        <v>285</v>
      </c>
      <c r="P119" s="8" t="s">
        <v>28</v>
      </c>
      <c r="Q119" s="11">
        <v>675</v>
      </c>
      <c r="R119" s="11">
        <v>111375</v>
      </c>
      <c r="S119" s="9">
        <v>133</v>
      </c>
      <c r="T119" s="8" t="s">
        <v>79</v>
      </c>
      <c r="U119" s="9">
        <v>33</v>
      </c>
      <c r="V119" s="8" t="e">
        <f>VLOOKUP(E119,'[1]Consolidated Stock'!$E:$V,18,0)</f>
        <v>#N/A</v>
      </c>
      <c r="W119" s="8" t="s">
        <v>413</v>
      </c>
    </row>
    <row r="120" spans="1:23" x14ac:dyDescent="0.3">
      <c r="A120" s="2" t="s">
        <v>414</v>
      </c>
      <c r="B120" s="3" t="s">
        <v>398</v>
      </c>
      <c r="C120" s="3" t="s">
        <v>415</v>
      </c>
      <c r="D120" s="3" t="s">
        <v>416</v>
      </c>
      <c r="E120" s="3">
        <v>12324</v>
      </c>
      <c r="F120" s="4">
        <v>970</v>
      </c>
      <c r="G120" s="5">
        <v>5</v>
      </c>
      <c r="H120" s="5">
        <v>4850</v>
      </c>
      <c r="I120" s="3" t="s">
        <v>1366</v>
      </c>
      <c r="J120" s="3" t="s">
        <v>1373</v>
      </c>
      <c r="K120" s="3" t="s">
        <v>417</v>
      </c>
      <c r="L120" s="3" t="s">
        <v>418</v>
      </c>
      <c r="M120" s="3" t="s">
        <v>26</v>
      </c>
      <c r="N120" s="3" t="s">
        <v>27</v>
      </c>
      <c r="O120" s="3" t="s">
        <v>285</v>
      </c>
      <c r="P120" s="3" t="s">
        <v>38</v>
      </c>
      <c r="Q120" s="6">
        <v>435</v>
      </c>
      <c r="R120" s="6">
        <v>2109750</v>
      </c>
      <c r="S120" s="4">
        <v>127</v>
      </c>
      <c r="T120" s="3" t="s">
        <v>79</v>
      </c>
      <c r="U120" s="4">
        <v>970</v>
      </c>
      <c r="V120" s="3" t="s">
        <v>419</v>
      </c>
      <c r="W120" s="3" t="s">
        <v>1358</v>
      </c>
    </row>
    <row r="121" spans="1:23" x14ac:dyDescent="0.3">
      <c r="A121" s="7" t="s">
        <v>414</v>
      </c>
      <c r="B121" s="8" t="s">
        <v>398</v>
      </c>
      <c r="C121" s="8" t="s">
        <v>415</v>
      </c>
      <c r="D121" s="8" t="s">
        <v>416</v>
      </c>
      <c r="E121" s="8">
        <v>12324</v>
      </c>
      <c r="F121" s="9">
        <v>671</v>
      </c>
      <c r="G121" s="10">
        <v>5</v>
      </c>
      <c r="H121" s="10">
        <v>3355</v>
      </c>
      <c r="I121" s="8" t="s">
        <v>1366</v>
      </c>
      <c r="J121" s="8" t="s">
        <v>1373</v>
      </c>
      <c r="K121" s="8" t="s">
        <v>417</v>
      </c>
      <c r="L121" s="8" t="s">
        <v>418</v>
      </c>
      <c r="M121" s="8" t="s">
        <v>26</v>
      </c>
      <c r="N121" s="8" t="s">
        <v>27</v>
      </c>
      <c r="O121" s="8" t="s">
        <v>285</v>
      </c>
      <c r="P121" s="8" t="s">
        <v>38</v>
      </c>
      <c r="Q121" s="11">
        <v>435</v>
      </c>
      <c r="R121" s="11">
        <v>1459425</v>
      </c>
      <c r="S121" s="9">
        <v>127</v>
      </c>
      <c r="T121" s="8" t="s">
        <v>79</v>
      </c>
      <c r="U121" s="9">
        <v>671</v>
      </c>
      <c r="V121" s="8" t="s">
        <v>420</v>
      </c>
      <c r="W121" s="8" t="s">
        <v>1091</v>
      </c>
    </row>
    <row r="122" spans="1:23" x14ac:dyDescent="0.3">
      <c r="A122" s="2" t="s">
        <v>421</v>
      </c>
      <c r="B122" s="3" t="s">
        <v>398</v>
      </c>
      <c r="C122" s="3" t="s">
        <v>422</v>
      </c>
      <c r="D122" s="3" t="s">
        <v>284</v>
      </c>
      <c r="E122" s="3">
        <v>12324</v>
      </c>
      <c r="F122" s="4">
        <v>0</v>
      </c>
      <c r="G122" s="5">
        <v>5</v>
      </c>
      <c r="H122" s="5">
        <v>0</v>
      </c>
      <c r="I122" s="3" t="s">
        <v>1366</v>
      </c>
      <c r="J122" s="3" t="s">
        <v>1373</v>
      </c>
      <c r="K122" s="3" t="s">
        <v>417</v>
      </c>
      <c r="L122" s="3" t="s">
        <v>418</v>
      </c>
      <c r="M122" s="3" t="s">
        <v>26</v>
      </c>
      <c r="N122" s="3" t="s">
        <v>27</v>
      </c>
      <c r="O122" s="3" t="s">
        <v>285</v>
      </c>
      <c r="P122" s="3" t="s">
        <v>38</v>
      </c>
      <c r="Q122" s="6">
        <v>435</v>
      </c>
      <c r="R122" s="6">
        <v>0</v>
      </c>
      <c r="S122" s="4">
        <v>116</v>
      </c>
      <c r="T122" s="3" t="s">
        <v>79</v>
      </c>
      <c r="U122" s="4">
        <v>0</v>
      </c>
      <c r="V122" s="3" t="e">
        <f>VLOOKUP(E122,'[1]Consolidated Stock'!$E:$V,18,0)</f>
        <v>#N/A</v>
      </c>
      <c r="W122" s="3" t="s">
        <v>423</v>
      </c>
    </row>
    <row r="123" spans="1:23" x14ac:dyDescent="0.3">
      <c r="A123" s="7" t="s">
        <v>414</v>
      </c>
      <c r="B123" s="8" t="s">
        <v>398</v>
      </c>
      <c r="C123" s="8" t="s">
        <v>415</v>
      </c>
      <c r="D123" s="8" t="s">
        <v>424</v>
      </c>
      <c r="E123" s="8">
        <v>12325</v>
      </c>
      <c r="F123" s="9">
        <v>877</v>
      </c>
      <c r="G123" s="10">
        <v>5</v>
      </c>
      <c r="H123" s="10">
        <v>4385</v>
      </c>
      <c r="I123" s="8" t="s">
        <v>1366</v>
      </c>
      <c r="J123" s="8" t="s">
        <v>87</v>
      </c>
      <c r="K123" s="8" t="s">
        <v>425</v>
      </c>
      <c r="L123" s="8" t="s">
        <v>418</v>
      </c>
      <c r="M123" s="8" t="s">
        <v>88</v>
      </c>
      <c r="N123" s="8" t="s">
        <v>27</v>
      </c>
      <c r="O123" s="8" t="s">
        <v>285</v>
      </c>
      <c r="P123" s="8" t="s">
        <v>38</v>
      </c>
      <c r="Q123" s="11">
        <v>248</v>
      </c>
      <c r="R123" s="11">
        <v>1087480</v>
      </c>
      <c r="S123" s="9">
        <v>127</v>
      </c>
      <c r="T123" s="8" t="s">
        <v>79</v>
      </c>
      <c r="U123" s="9">
        <v>877</v>
      </c>
      <c r="V123" s="8" t="s">
        <v>426</v>
      </c>
      <c r="W123" s="8" t="s">
        <v>427</v>
      </c>
    </row>
    <row r="124" spans="1:23" x14ac:dyDescent="0.3">
      <c r="A124" s="2" t="s">
        <v>375</v>
      </c>
      <c r="B124" s="3" t="s">
        <v>398</v>
      </c>
      <c r="C124" s="3" t="s">
        <v>428</v>
      </c>
      <c r="D124" s="3" t="s">
        <v>429</v>
      </c>
      <c r="E124" s="3">
        <v>76578</v>
      </c>
      <c r="F124" s="4">
        <v>10</v>
      </c>
      <c r="G124" s="5">
        <v>12.5</v>
      </c>
      <c r="H124" s="5">
        <v>125</v>
      </c>
      <c r="I124" s="3" t="s">
        <v>1366</v>
      </c>
      <c r="J124" s="3" t="s">
        <v>1371</v>
      </c>
      <c r="K124" s="3" t="s">
        <v>430</v>
      </c>
      <c r="L124" s="3" t="s">
        <v>431</v>
      </c>
      <c r="M124" s="3" t="s">
        <v>432</v>
      </c>
      <c r="N124" s="3" t="s">
        <v>27</v>
      </c>
      <c r="O124" s="3" t="s">
        <v>285</v>
      </c>
      <c r="P124" s="3" t="s">
        <v>50</v>
      </c>
      <c r="Q124" s="6">
        <v>938</v>
      </c>
      <c r="R124" s="6">
        <v>117250</v>
      </c>
      <c r="S124" s="4">
        <v>413</v>
      </c>
      <c r="T124" s="3" t="s">
        <v>36</v>
      </c>
      <c r="U124" s="4">
        <v>10</v>
      </c>
      <c r="V124" s="3" t="s">
        <v>433</v>
      </c>
      <c r="W124" s="3" t="s">
        <v>434</v>
      </c>
    </row>
    <row r="125" spans="1:23" x14ac:dyDescent="0.3">
      <c r="A125" s="7" t="s">
        <v>375</v>
      </c>
      <c r="B125" s="8" t="s">
        <v>398</v>
      </c>
      <c r="C125" s="8" t="s">
        <v>428</v>
      </c>
      <c r="D125" s="8" t="s">
        <v>435</v>
      </c>
      <c r="E125" s="8">
        <v>76579</v>
      </c>
      <c r="F125" s="9">
        <v>10</v>
      </c>
      <c r="G125" s="10">
        <v>12.5</v>
      </c>
      <c r="H125" s="10">
        <v>125</v>
      </c>
      <c r="I125" s="8" t="s">
        <v>1366</v>
      </c>
      <c r="J125" s="8" t="s">
        <v>1371</v>
      </c>
      <c r="K125" s="8" t="s">
        <v>436</v>
      </c>
      <c r="L125" s="8" t="s">
        <v>370</v>
      </c>
      <c r="M125" s="8" t="s">
        <v>437</v>
      </c>
      <c r="N125" s="8" t="s">
        <v>27</v>
      </c>
      <c r="O125" s="8" t="s">
        <v>285</v>
      </c>
      <c r="P125" s="8" t="s">
        <v>50</v>
      </c>
      <c r="Q125" s="11">
        <v>715</v>
      </c>
      <c r="R125" s="11">
        <v>89375</v>
      </c>
      <c r="S125" s="9">
        <v>413</v>
      </c>
      <c r="T125" s="8" t="s">
        <v>36</v>
      </c>
      <c r="U125" s="9">
        <v>10</v>
      </c>
      <c r="V125" s="8" t="s">
        <v>438</v>
      </c>
      <c r="W125" s="8" t="s">
        <v>439</v>
      </c>
    </row>
    <row r="126" spans="1:23" x14ac:dyDescent="0.3">
      <c r="A126" s="2" t="s">
        <v>440</v>
      </c>
      <c r="B126" s="3" t="s">
        <v>398</v>
      </c>
      <c r="C126" s="3" t="s">
        <v>441</v>
      </c>
      <c r="D126" s="3" t="s">
        <v>442</v>
      </c>
      <c r="E126" s="3">
        <v>78999</v>
      </c>
      <c r="F126" s="4">
        <v>43</v>
      </c>
      <c r="G126" s="5">
        <v>5</v>
      </c>
      <c r="H126" s="5">
        <v>215</v>
      </c>
      <c r="I126" s="3" t="s">
        <v>1366</v>
      </c>
      <c r="J126" s="3" t="s">
        <v>87</v>
      </c>
      <c r="K126" s="3" t="s">
        <v>87</v>
      </c>
      <c r="L126" s="3" t="s">
        <v>40</v>
      </c>
      <c r="M126" s="3" t="s">
        <v>88</v>
      </c>
      <c r="N126" s="3" t="s">
        <v>27</v>
      </c>
      <c r="O126" s="3" t="s">
        <v>285</v>
      </c>
      <c r="P126" s="3" t="s">
        <v>28</v>
      </c>
      <c r="Q126" s="6">
        <v>980</v>
      </c>
      <c r="R126" s="6">
        <v>210700</v>
      </c>
      <c r="S126" s="4">
        <v>495</v>
      </c>
      <c r="T126" s="3" t="s">
        <v>36</v>
      </c>
      <c r="U126" s="4">
        <v>43</v>
      </c>
      <c r="V126" s="3" t="s">
        <v>443</v>
      </c>
      <c r="W126" s="3" t="s">
        <v>444</v>
      </c>
    </row>
    <row r="127" spans="1:23" x14ac:dyDescent="0.3">
      <c r="A127" s="7" t="s">
        <v>440</v>
      </c>
      <c r="B127" s="8" t="s">
        <v>398</v>
      </c>
      <c r="C127" s="8" t="s">
        <v>441</v>
      </c>
      <c r="D127" s="8" t="s">
        <v>445</v>
      </c>
      <c r="E127" s="8">
        <v>79000</v>
      </c>
      <c r="F127" s="9">
        <v>31</v>
      </c>
      <c r="G127" s="10">
        <v>5</v>
      </c>
      <c r="H127" s="10">
        <v>155</v>
      </c>
      <c r="I127" s="8" t="s">
        <v>1366</v>
      </c>
      <c r="J127" s="8" t="s">
        <v>87</v>
      </c>
      <c r="K127" s="8" t="s">
        <v>87</v>
      </c>
      <c r="L127" s="8" t="s">
        <v>40</v>
      </c>
      <c r="M127" s="8" t="s">
        <v>88</v>
      </c>
      <c r="N127" s="8" t="s">
        <v>27</v>
      </c>
      <c r="O127" s="8" t="s">
        <v>285</v>
      </c>
      <c r="P127" s="8" t="s">
        <v>28</v>
      </c>
      <c r="Q127" s="11">
        <v>980</v>
      </c>
      <c r="R127" s="11">
        <v>151900</v>
      </c>
      <c r="S127" s="9">
        <v>495</v>
      </c>
      <c r="T127" s="8" t="s">
        <v>36</v>
      </c>
      <c r="U127" s="9">
        <v>31</v>
      </c>
      <c r="V127" s="8" t="s">
        <v>446</v>
      </c>
      <c r="W127" s="8" t="s">
        <v>447</v>
      </c>
    </row>
    <row r="128" spans="1:23" x14ac:dyDescent="0.3">
      <c r="A128" s="2" t="s">
        <v>448</v>
      </c>
      <c r="B128" s="3" t="s">
        <v>398</v>
      </c>
      <c r="C128" s="3" t="s">
        <v>449</v>
      </c>
      <c r="D128" s="3" t="s">
        <v>450</v>
      </c>
      <c r="E128" s="3">
        <v>79911</v>
      </c>
      <c r="F128" s="4">
        <v>7</v>
      </c>
      <c r="G128" s="5">
        <v>8</v>
      </c>
      <c r="H128" s="5">
        <v>56</v>
      </c>
      <c r="I128" s="3" t="s">
        <v>1366</v>
      </c>
      <c r="J128" s="3" t="s">
        <v>451</v>
      </c>
      <c r="K128" s="3" t="s">
        <v>451</v>
      </c>
      <c r="L128" s="3" t="s">
        <v>452</v>
      </c>
      <c r="M128" s="3" t="s">
        <v>453</v>
      </c>
      <c r="N128" s="3" t="s">
        <v>27</v>
      </c>
      <c r="O128" s="3" t="s">
        <v>285</v>
      </c>
      <c r="P128" s="3" t="s">
        <v>372</v>
      </c>
      <c r="Q128" s="6">
        <v>1045</v>
      </c>
      <c r="R128" s="6">
        <v>58520</v>
      </c>
      <c r="S128" s="4">
        <v>469</v>
      </c>
      <c r="T128" s="3" t="s">
        <v>36</v>
      </c>
      <c r="U128" s="4">
        <v>7</v>
      </c>
      <c r="V128" s="3" t="s">
        <v>454</v>
      </c>
      <c r="W128" s="3" t="s">
        <v>455</v>
      </c>
    </row>
    <row r="129" spans="1:23" x14ac:dyDescent="0.3">
      <c r="A129" s="7" t="s">
        <v>448</v>
      </c>
      <c r="B129" s="8" t="s">
        <v>398</v>
      </c>
      <c r="C129" s="8" t="s">
        <v>449</v>
      </c>
      <c r="D129" s="8" t="s">
        <v>456</v>
      </c>
      <c r="E129" s="8">
        <v>79912</v>
      </c>
      <c r="F129" s="9">
        <v>9</v>
      </c>
      <c r="G129" s="10">
        <v>15</v>
      </c>
      <c r="H129" s="10">
        <v>135</v>
      </c>
      <c r="I129" s="8" t="s">
        <v>1366</v>
      </c>
      <c r="J129" s="8" t="s">
        <v>818</v>
      </c>
      <c r="K129" s="8" t="s">
        <v>457</v>
      </c>
      <c r="L129" s="8" t="s">
        <v>458</v>
      </c>
      <c r="M129" s="8" t="s">
        <v>296</v>
      </c>
      <c r="N129" s="8" t="s">
        <v>27</v>
      </c>
      <c r="O129" s="8" t="s">
        <v>285</v>
      </c>
      <c r="P129" s="8" t="s">
        <v>372</v>
      </c>
      <c r="Q129" s="11">
        <v>477</v>
      </c>
      <c r="R129" s="11">
        <v>64395</v>
      </c>
      <c r="S129" s="9">
        <v>469</v>
      </c>
      <c r="T129" s="8" t="s">
        <v>36</v>
      </c>
      <c r="U129" s="9">
        <v>9</v>
      </c>
      <c r="V129" s="8" t="s">
        <v>459</v>
      </c>
      <c r="W129" s="8" t="s">
        <v>460</v>
      </c>
    </row>
    <row r="130" spans="1:23" x14ac:dyDescent="0.3">
      <c r="A130" s="2" t="s">
        <v>461</v>
      </c>
      <c r="B130" s="3" t="s">
        <v>398</v>
      </c>
      <c r="C130" s="3" t="s">
        <v>462</v>
      </c>
      <c r="D130" s="3" t="s">
        <v>463</v>
      </c>
      <c r="E130" s="3">
        <v>79952</v>
      </c>
      <c r="F130" s="4">
        <v>9</v>
      </c>
      <c r="G130" s="5">
        <v>5</v>
      </c>
      <c r="H130" s="5">
        <v>45</v>
      </c>
      <c r="I130" s="3" t="s">
        <v>1366</v>
      </c>
      <c r="J130" s="3" t="s">
        <v>1369</v>
      </c>
      <c r="K130" s="3" t="s">
        <v>464</v>
      </c>
      <c r="L130" s="3" t="s">
        <v>465</v>
      </c>
      <c r="M130" s="3" t="s">
        <v>466</v>
      </c>
      <c r="N130" s="3" t="s">
        <v>27</v>
      </c>
      <c r="O130" s="3" t="s">
        <v>285</v>
      </c>
      <c r="P130" s="3" t="s">
        <v>372</v>
      </c>
      <c r="Q130" s="6">
        <v>1139</v>
      </c>
      <c r="R130" s="6">
        <v>51255</v>
      </c>
      <c r="S130" s="4">
        <v>468</v>
      </c>
      <c r="T130" s="3" t="s">
        <v>36</v>
      </c>
      <c r="U130" s="4">
        <v>9</v>
      </c>
      <c r="V130" s="3" t="s">
        <v>467</v>
      </c>
      <c r="W130" s="3" t="s">
        <v>468</v>
      </c>
    </row>
    <row r="131" spans="1:23" x14ac:dyDescent="0.3">
      <c r="A131" s="7" t="s">
        <v>469</v>
      </c>
      <c r="B131" s="8" t="s">
        <v>398</v>
      </c>
      <c r="C131" s="8" t="s">
        <v>470</v>
      </c>
      <c r="D131" s="8" t="s">
        <v>471</v>
      </c>
      <c r="E131" s="8">
        <v>81382</v>
      </c>
      <c r="F131" s="9">
        <v>4</v>
      </c>
      <c r="G131" s="10">
        <v>5</v>
      </c>
      <c r="H131" s="10">
        <v>20</v>
      </c>
      <c r="I131" s="8" t="s">
        <v>1366</v>
      </c>
      <c r="J131" s="8" t="s">
        <v>1369</v>
      </c>
      <c r="K131" s="8" t="s">
        <v>464</v>
      </c>
      <c r="L131" s="8" t="s">
        <v>370</v>
      </c>
      <c r="M131" s="8" t="s">
        <v>466</v>
      </c>
      <c r="N131" s="8" t="s">
        <v>27</v>
      </c>
      <c r="O131" s="8" t="s">
        <v>285</v>
      </c>
      <c r="P131" s="8" t="s">
        <v>372</v>
      </c>
      <c r="Q131" s="11">
        <v>200</v>
      </c>
      <c r="R131" s="11">
        <v>4000</v>
      </c>
      <c r="S131" s="9">
        <v>432</v>
      </c>
      <c r="T131" s="8" t="s">
        <v>36</v>
      </c>
      <c r="U131" s="9">
        <v>4</v>
      </c>
      <c r="V131" s="8" t="s">
        <v>472</v>
      </c>
      <c r="W131" s="8" t="s">
        <v>473</v>
      </c>
    </row>
    <row r="132" spans="1:23" x14ac:dyDescent="0.3">
      <c r="A132" s="2" t="s">
        <v>474</v>
      </c>
      <c r="B132" s="3" t="s">
        <v>398</v>
      </c>
      <c r="C132" s="3" t="s">
        <v>475</v>
      </c>
      <c r="D132" s="3" t="s">
        <v>476</v>
      </c>
      <c r="E132" s="3">
        <v>81466</v>
      </c>
      <c r="F132" s="4">
        <v>33</v>
      </c>
      <c r="G132" s="5">
        <v>5</v>
      </c>
      <c r="H132" s="5">
        <v>165</v>
      </c>
      <c r="I132" s="3" t="s">
        <v>1366</v>
      </c>
      <c r="J132" s="3" t="s">
        <v>87</v>
      </c>
      <c r="K132" s="3" t="s">
        <v>87</v>
      </c>
      <c r="L132" s="3" t="s">
        <v>71</v>
      </c>
      <c r="M132" s="3" t="s">
        <v>477</v>
      </c>
      <c r="N132" s="3" t="s">
        <v>27</v>
      </c>
      <c r="O132" s="3" t="s">
        <v>285</v>
      </c>
      <c r="P132" s="3" t="s">
        <v>28</v>
      </c>
      <c r="Q132" s="6">
        <v>980</v>
      </c>
      <c r="R132" s="6">
        <v>161700</v>
      </c>
      <c r="S132" s="4">
        <v>430</v>
      </c>
      <c r="T132" s="3" t="s">
        <v>36</v>
      </c>
      <c r="U132" s="4">
        <v>33</v>
      </c>
      <c r="V132" s="3" t="s">
        <v>478</v>
      </c>
      <c r="W132" s="3" t="s">
        <v>479</v>
      </c>
    </row>
    <row r="133" spans="1:23" x14ac:dyDescent="0.3">
      <c r="A133" s="7" t="s">
        <v>480</v>
      </c>
      <c r="B133" s="8" t="s">
        <v>398</v>
      </c>
      <c r="C133" s="8" t="s">
        <v>481</v>
      </c>
      <c r="D133" s="8" t="s">
        <v>482</v>
      </c>
      <c r="E133" s="8">
        <v>81942</v>
      </c>
      <c r="F133" s="9">
        <v>1</v>
      </c>
      <c r="G133" s="10">
        <v>12.5</v>
      </c>
      <c r="H133" s="10">
        <v>12.5</v>
      </c>
      <c r="I133" s="8" t="s">
        <v>1366</v>
      </c>
      <c r="J133" s="8" t="s">
        <v>1370</v>
      </c>
      <c r="K133" s="8" t="s">
        <v>483</v>
      </c>
      <c r="L133" s="8" t="s">
        <v>370</v>
      </c>
      <c r="M133" s="8" t="s">
        <v>484</v>
      </c>
      <c r="N133" s="8" t="s">
        <v>27</v>
      </c>
      <c r="O133" s="8" t="s">
        <v>285</v>
      </c>
      <c r="P133" s="8" t="s">
        <v>50</v>
      </c>
      <c r="Q133" s="11">
        <v>641</v>
      </c>
      <c r="R133" s="11">
        <v>8012.5</v>
      </c>
      <c r="S133" s="9">
        <v>420</v>
      </c>
      <c r="T133" s="8" t="s">
        <v>36</v>
      </c>
      <c r="U133" s="9">
        <v>1</v>
      </c>
      <c r="V133" s="8" t="s">
        <v>485</v>
      </c>
      <c r="W133" s="8" t="s">
        <v>486</v>
      </c>
    </row>
    <row r="134" spans="1:23" x14ac:dyDescent="0.3">
      <c r="A134" s="7">
        <v>46104</v>
      </c>
      <c r="B134" s="8" t="s">
        <v>487</v>
      </c>
      <c r="C134" s="8">
        <v>23007</v>
      </c>
      <c r="D134" s="8" t="s">
        <v>1344</v>
      </c>
      <c r="E134" s="8">
        <v>35038</v>
      </c>
      <c r="F134" s="9">
        <v>1755</v>
      </c>
      <c r="G134" s="10">
        <v>10</v>
      </c>
      <c r="H134" s="10">
        <v>17550</v>
      </c>
      <c r="I134" s="8" t="s">
        <v>1366</v>
      </c>
      <c r="J134" s="8" t="s">
        <v>488</v>
      </c>
      <c r="K134" s="8" t="s">
        <v>488</v>
      </c>
      <c r="L134" s="8" t="s">
        <v>126</v>
      </c>
      <c r="M134" s="8" t="s">
        <v>489</v>
      </c>
      <c r="N134" s="8" t="s">
        <v>27</v>
      </c>
      <c r="O134" s="8" t="s">
        <v>487</v>
      </c>
      <c r="P134" s="8" t="s">
        <v>28</v>
      </c>
      <c r="Q134" s="11">
        <v>98</v>
      </c>
      <c r="R134" s="11">
        <v>1719900</v>
      </c>
      <c r="S134" s="9">
        <v>63</v>
      </c>
      <c r="T134" s="8" t="s">
        <v>79</v>
      </c>
      <c r="U134" s="9">
        <v>1755</v>
      </c>
      <c r="V134" s="8" t="s">
        <v>1343</v>
      </c>
      <c r="W134" s="8" t="s">
        <v>1342</v>
      </c>
    </row>
    <row r="135" spans="1:23" x14ac:dyDescent="0.3">
      <c r="A135" s="7" t="s">
        <v>490</v>
      </c>
      <c r="B135" s="8" t="s">
        <v>282</v>
      </c>
      <c r="C135" s="8" t="s">
        <v>491</v>
      </c>
      <c r="D135" s="8" t="s">
        <v>284</v>
      </c>
      <c r="E135" s="8">
        <v>1051</v>
      </c>
      <c r="F135" s="9">
        <v>16</v>
      </c>
      <c r="G135" s="10">
        <v>15</v>
      </c>
      <c r="H135" s="10">
        <v>240</v>
      </c>
      <c r="I135" s="8" t="s">
        <v>1376</v>
      </c>
      <c r="J135" s="8" t="s">
        <v>1377</v>
      </c>
      <c r="K135" s="8" t="s">
        <v>492</v>
      </c>
      <c r="L135" s="8" t="s">
        <v>493</v>
      </c>
      <c r="M135" s="8" t="s">
        <v>494</v>
      </c>
      <c r="N135" s="8" t="s">
        <v>495</v>
      </c>
      <c r="O135" s="8" t="s">
        <v>285</v>
      </c>
      <c r="P135" s="8" t="s">
        <v>28</v>
      </c>
      <c r="Q135" s="11">
        <v>349</v>
      </c>
      <c r="R135" s="11">
        <v>83760</v>
      </c>
      <c r="S135" s="9">
        <v>54</v>
      </c>
      <c r="T135" s="8" t="s">
        <v>79</v>
      </c>
      <c r="U135" s="9">
        <v>16</v>
      </c>
      <c r="V135" s="8" t="e">
        <f>VLOOKUP(E135,'[1]Consolidated Stock'!$E:$V,18,0)</f>
        <v>#N/A</v>
      </c>
      <c r="W135" s="8" t="s">
        <v>496</v>
      </c>
    </row>
    <row r="136" spans="1:23" x14ac:dyDescent="0.3">
      <c r="A136" s="2" t="s">
        <v>490</v>
      </c>
      <c r="B136" s="3" t="s">
        <v>282</v>
      </c>
      <c r="C136" s="3" t="s">
        <v>491</v>
      </c>
      <c r="D136" s="3" t="s">
        <v>284</v>
      </c>
      <c r="E136" s="3">
        <v>1052</v>
      </c>
      <c r="F136" s="4">
        <v>23</v>
      </c>
      <c r="G136" s="5">
        <v>15</v>
      </c>
      <c r="H136" s="5">
        <v>345</v>
      </c>
      <c r="I136" s="3" t="s">
        <v>1376</v>
      </c>
      <c r="J136" s="3" t="s">
        <v>1377</v>
      </c>
      <c r="K136" s="3" t="s">
        <v>492</v>
      </c>
      <c r="L136" s="3" t="s">
        <v>493</v>
      </c>
      <c r="M136" s="3" t="s">
        <v>494</v>
      </c>
      <c r="N136" s="3" t="s">
        <v>495</v>
      </c>
      <c r="O136" s="3" t="s">
        <v>285</v>
      </c>
      <c r="P136" s="3" t="s">
        <v>28</v>
      </c>
      <c r="Q136" s="6">
        <v>349</v>
      </c>
      <c r="R136" s="6">
        <v>120405</v>
      </c>
      <c r="S136" s="4">
        <v>54</v>
      </c>
      <c r="T136" s="3" t="s">
        <v>79</v>
      </c>
      <c r="U136" s="4">
        <v>23</v>
      </c>
      <c r="V136" s="3" t="e">
        <f>VLOOKUP(E136,'[1]Consolidated Stock'!$E:$V,18,0)</f>
        <v>#N/A</v>
      </c>
      <c r="W136" s="3" t="s">
        <v>497</v>
      </c>
    </row>
    <row r="137" spans="1:23" x14ac:dyDescent="0.3">
      <c r="A137" s="7" t="s">
        <v>490</v>
      </c>
      <c r="B137" s="8" t="s">
        <v>282</v>
      </c>
      <c r="C137" s="8" t="s">
        <v>491</v>
      </c>
      <c r="D137" s="8" t="s">
        <v>284</v>
      </c>
      <c r="E137" s="8">
        <v>1053</v>
      </c>
      <c r="F137" s="9">
        <v>17</v>
      </c>
      <c r="G137" s="10">
        <v>15</v>
      </c>
      <c r="H137" s="10">
        <v>255</v>
      </c>
      <c r="I137" s="8" t="s">
        <v>1376</v>
      </c>
      <c r="J137" s="8" t="s">
        <v>1377</v>
      </c>
      <c r="K137" s="8" t="s">
        <v>492</v>
      </c>
      <c r="L137" s="8" t="s">
        <v>493</v>
      </c>
      <c r="M137" s="8" t="s">
        <v>494</v>
      </c>
      <c r="N137" s="8" t="s">
        <v>495</v>
      </c>
      <c r="O137" s="8" t="s">
        <v>285</v>
      </c>
      <c r="P137" s="8" t="s">
        <v>28</v>
      </c>
      <c r="Q137" s="11">
        <v>349</v>
      </c>
      <c r="R137" s="11">
        <v>88995</v>
      </c>
      <c r="S137" s="9">
        <v>54</v>
      </c>
      <c r="T137" s="8" t="s">
        <v>79</v>
      </c>
      <c r="U137" s="9">
        <v>17</v>
      </c>
      <c r="V137" s="8" t="e">
        <f>VLOOKUP(E137,'[1]Consolidated Stock'!$E:$V,18,0)</f>
        <v>#N/A</v>
      </c>
      <c r="W137" s="8" t="s">
        <v>498</v>
      </c>
    </row>
    <row r="138" spans="1:23" x14ac:dyDescent="0.3">
      <c r="A138" s="2" t="s">
        <v>490</v>
      </c>
      <c r="B138" s="3" t="s">
        <v>282</v>
      </c>
      <c r="C138" s="3" t="s">
        <v>491</v>
      </c>
      <c r="D138" s="3" t="s">
        <v>284</v>
      </c>
      <c r="E138" s="3">
        <v>1054</v>
      </c>
      <c r="F138" s="4">
        <v>1</v>
      </c>
      <c r="G138" s="5">
        <v>15</v>
      </c>
      <c r="H138" s="5">
        <v>15</v>
      </c>
      <c r="I138" s="3" t="s">
        <v>1376</v>
      </c>
      <c r="J138" s="3" t="s">
        <v>1377</v>
      </c>
      <c r="K138" s="3" t="s">
        <v>492</v>
      </c>
      <c r="L138" s="3" t="s">
        <v>493</v>
      </c>
      <c r="M138" s="3" t="s">
        <v>494</v>
      </c>
      <c r="N138" s="3" t="s">
        <v>495</v>
      </c>
      <c r="O138" s="3" t="s">
        <v>285</v>
      </c>
      <c r="P138" s="3" t="s">
        <v>28</v>
      </c>
      <c r="Q138" s="6">
        <v>349</v>
      </c>
      <c r="R138" s="6">
        <v>5235</v>
      </c>
      <c r="S138" s="4">
        <v>54</v>
      </c>
      <c r="T138" s="3" t="s">
        <v>79</v>
      </c>
      <c r="U138" s="4">
        <v>1</v>
      </c>
      <c r="V138" s="3" t="e">
        <f>VLOOKUP(E138,'[1]Consolidated Stock'!$E:$V,18,0)</f>
        <v>#N/A</v>
      </c>
      <c r="W138" s="3" t="s">
        <v>499</v>
      </c>
    </row>
    <row r="139" spans="1:23" x14ac:dyDescent="0.3">
      <c r="A139" s="7" t="s">
        <v>490</v>
      </c>
      <c r="B139" s="8" t="s">
        <v>282</v>
      </c>
      <c r="C139" s="8" t="s">
        <v>491</v>
      </c>
      <c r="D139" s="8" t="s">
        <v>284</v>
      </c>
      <c r="E139" s="8">
        <v>1057</v>
      </c>
      <c r="F139" s="9">
        <v>8</v>
      </c>
      <c r="G139" s="10">
        <v>15</v>
      </c>
      <c r="H139" s="10">
        <v>120</v>
      </c>
      <c r="I139" s="8" t="s">
        <v>1376</v>
      </c>
      <c r="J139" s="8" t="s">
        <v>1377</v>
      </c>
      <c r="K139" s="8" t="s">
        <v>492</v>
      </c>
      <c r="L139" s="8" t="s">
        <v>493</v>
      </c>
      <c r="M139" s="8" t="s">
        <v>494</v>
      </c>
      <c r="N139" s="8" t="s">
        <v>495</v>
      </c>
      <c r="O139" s="8" t="s">
        <v>285</v>
      </c>
      <c r="P139" s="8" t="s">
        <v>28</v>
      </c>
      <c r="Q139" s="11">
        <v>349</v>
      </c>
      <c r="R139" s="11">
        <v>41880</v>
      </c>
      <c r="S139" s="9">
        <v>54</v>
      </c>
      <c r="T139" s="8" t="s">
        <v>79</v>
      </c>
      <c r="U139" s="9">
        <v>8</v>
      </c>
      <c r="V139" s="8" t="e">
        <f>VLOOKUP(E139,'[1]Consolidated Stock'!$E:$V,18,0)</f>
        <v>#N/A</v>
      </c>
      <c r="W139" s="8" t="s">
        <v>500</v>
      </c>
    </row>
    <row r="140" spans="1:23" x14ac:dyDescent="0.3">
      <c r="A140" s="2" t="s">
        <v>490</v>
      </c>
      <c r="B140" s="3" t="s">
        <v>282</v>
      </c>
      <c r="C140" s="3" t="s">
        <v>491</v>
      </c>
      <c r="D140" s="3" t="s">
        <v>284</v>
      </c>
      <c r="E140" s="3">
        <v>1058</v>
      </c>
      <c r="F140" s="4">
        <v>52</v>
      </c>
      <c r="G140" s="5">
        <v>15</v>
      </c>
      <c r="H140" s="5">
        <v>780</v>
      </c>
      <c r="I140" s="3" t="s">
        <v>1376</v>
      </c>
      <c r="J140" s="3" t="s">
        <v>1377</v>
      </c>
      <c r="K140" s="3" t="s">
        <v>492</v>
      </c>
      <c r="L140" s="3" t="s">
        <v>493</v>
      </c>
      <c r="M140" s="3" t="s">
        <v>494</v>
      </c>
      <c r="N140" s="3" t="s">
        <v>495</v>
      </c>
      <c r="O140" s="3" t="s">
        <v>285</v>
      </c>
      <c r="P140" s="3" t="s">
        <v>28</v>
      </c>
      <c r="Q140" s="6">
        <v>349</v>
      </c>
      <c r="R140" s="6">
        <v>272220</v>
      </c>
      <c r="S140" s="4">
        <v>54</v>
      </c>
      <c r="T140" s="3" t="s">
        <v>79</v>
      </c>
      <c r="U140" s="4">
        <v>52</v>
      </c>
      <c r="V140" s="3" t="e">
        <f>VLOOKUP(E140,'[1]Consolidated Stock'!$E:$V,18,0)</f>
        <v>#N/A</v>
      </c>
      <c r="W140" s="3" t="s">
        <v>501</v>
      </c>
    </row>
    <row r="141" spans="1:23" x14ac:dyDescent="0.3">
      <c r="A141" s="7" t="s">
        <v>502</v>
      </c>
      <c r="B141" s="8" t="s">
        <v>282</v>
      </c>
      <c r="C141" s="8" t="s">
        <v>503</v>
      </c>
      <c r="D141" s="8" t="s">
        <v>504</v>
      </c>
      <c r="E141" s="8">
        <v>1344</v>
      </c>
      <c r="F141" s="9">
        <v>27</v>
      </c>
      <c r="G141" s="10">
        <v>11.34</v>
      </c>
      <c r="H141" s="10">
        <v>306.18</v>
      </c>
      <c r="I141" s="8" t="s">
        <v>1378</v>
      </c>
      <c r="J141" s="8" t="s">
        <v>1379</v>
      </c>
      <c r="K141" s="8" t="s">
        <v>505</v>
      </c>
      <c r="L141" s="8" t="s">
        <v>506</v>
      </c>
      <c r="M141" s="8" t="s">
        <v>507</v>
      </c>
      <c r="N141" s="8" t="s">
        <v>495</v>
      </c>
      <c r="O141" s="8" t="s">
        <v>285</v>
      </c>
      <c r="P141" s="8">
        <v>0</v>
      </c>
      <c r="Q141" s="11">
        <v>900</v>
      </c>
      <c r="R141" s="11">
        <v>275562</v>
      </c>
      <c r="S141" s="9">
        <v>52</v>
      </c>
      <c r="T141" s="8" t="s">
        <v>79</v>
      </c>
      <c r="U141" s="9">
        <v>27</v>
      </c>
      <c r="V141" s="8" t="s">
        <v>508</v>
      </c>
      <c r="W141" s="8" t="s">
        <v>509</v>
      </c>
    </row>
    <row r="142" spans="1:23" x14ac:dyDescent="0.3">
      <c r="A142" s="2" t="s">
        <v>281</v>
      </c>
      <c r="B142" s="3" t="s">
        <v>282</v>
      </c>
      <c r="C142" s="3" t="s">
        <v>510</v>
      </c>
      <c r="D142" s="3" t="s">
        <v>284</v>
      </c>
      <c r="E142" s="3">
        <v>2259</v>
      </c>
      <c r="F142" s="4">
        <v>4</v>
      </c>
      <c r="G142" s="5">
        <v>10</v>
      </c>
      <c r="H142" s="5">
        <v>40</v>
      </c>
      <c r="I142" s="3" t="s">
        <v>1378</v>
      </c>
      <c r="J142" s="3" t="s">
        <v>1379</v>
      </c>
      <c r="K142" s="3" t="s">
        <v>511</v>
      </c>
      <c r="L142" s="3" t="s">
        <v>511</v>
      </c>
      <c r="M142" s="3" t="s">
        <v>512</v>
      </c>
      <c r="N142" s="3" t="s">
        <v>495</v>
      </c>
      <c r="O142" s="3" t="s">
        <v>285</v>
      </c>
      <c r="P142" s="3" t="s">
        <v>513</v>
      </c>
      <c r="Q142" s="6">
        <v>910</v>
      </c>
      <c r="R142" s="6">
        <v>36400</v>
      </c>
      <c r="S142" s="4">
        <v>44</v>
      </c>
      <c r="T142" s="3" t="s">
        <v>79</v>
      </c>
      <c r="U142" s="4">
        <v>4</v>
      </c>
      <c r="V142" s="3" t="e">
        <f>VLOOKUP(E142,'[1]Consolidated Stock'!$E:$V,18,0)</f>
        <v>#N/A</v>
      </c>
      <c r="W142" s="3" t="s">
        <v>514</v>
      </c>
    </row>
    <row r="143" spans="1:23" x14ac:dyDescent="0.3">
      <c r="A143" s="7" t="s">
        <v>281</v>
      </c>
      <c r="B143" s="8" t="s">
        <v>282</v>
      </c>
      <c r="C143" s="8" t="s">
        <v>515</v>
      </c>
      <c r="D143" s="8" t="s">
        <v>284</v>
      </c>
      <c r="E143" s="8">
        <v>2355</v>
      </c>
      <c r="F143" s="9">
        <v>20</v>
      </c>
      <c r="G143" s="10">
        <v>15</v>
      </c>
      <c r="H143" s="10">
        <v>300</v>
      </c>
      <c r="I143" s="8" t="s">
        <v>1376</v>
      </c>
      <c r="J143" s="8" t="s">
        <v>1377</v>
      </c>
      <c r="K143" s="8" t="s">
        <v>492</v>
      </c>
      <c r="L143" s="8" t="s">
        <v>516</v>
      </c>
      <c r="M143" s="8" t="s">
        <v>494</v>
      </c>
      <c r="N143" s="8" t="s">
        <v>495</v>
      </c>
      <c r="O143" s="8" t="s">
        <v>285</v>
      </c>
      <c r="P143" s="8" t="s">
        <v>517</v>
      </c>
      <c r="Q143" s="11">
        <v>382</v>
      </c>
      <c r="R143" s="11">
        <v>114600</v>
      </c>
      <c r="S143" s="9">
        <v>44</v>
      </c>
      <c r="T143" s="8" t="s">
        <v>79</v>
      </c>
      <c r="U143" s="9">
        <v>20</v>
      </c>
      <c r="V143" s="8" t="e">
        <f>VLOOKUP(E143,'[1]Consolidated Stock'!$E:$V,18,0)</f>
        <v>#N/A</v>
      </c>
      <c r="W143" s="8" t="s">
        <v>518</v>
      </c>
    </row>
    <row r="144" spans="1:23" x14ac:dyDescent="0.3">
      <c r="A144" s="2" t="s">
        <v>281</v>
      </c>
      <c r="B144" s="3" t="s">
        <v>282</v>
      </c>
      <c r="C144" s="3" t="s">
        <v>515</v>
      </c>
      <c r="D144" s="3" t="s">
        <v>284</v>
      </c>
      <c r="E144" s="3">
        <v>2356</v>
      </c>
      <c r="F144" s="4">
        <v>14</v>
      </c>
      <c r="G144" s="5">
        <v>15</v>
      </c>
      <c r="H144" s="5">
        <v>210</v>
      </c>
      <c r="I144" s="3" t="s">
        <v>1376</v>
      </c>
      <c r="J144" s="3" t="s">
        <v>1377</v>
      </c>
      <c r="K144" s="3" t="s">
        <v>492</v>
      </c>
      <c r="L144" s="3" t="s">
        <v>516</v>
      </c>
      <c r="M144" s="3" t="s">
        <v>494</v>
      </c>
      <c r="N144" s="3" t="s">
        <v>495</v>
      </c>
      <c r="O144" s="3" t="s">
        <v>285</v>
      </c>
      <c r="P144" s="3" t="s">
        <v>517</v>
      </c>
      <c r="Q144" s="6">
        <v>382</v>
      </c>
      <c r="R144" s="6">
        <v>80220</v>
      </c>
      <c r="S144" s="4">
        <v>44</v>
      </c>
      <c r="T144" s="3" t="s">
        <v>79</v>
      </c>
      <c r="U144" s="4">
        <v>14</v>
      </c>
      <c r="V144" s="3" t="e">
        <f>VLOOKUP(E144,'[1]Consolidated Stock'!$E:$V,18,0)</f>
        <v>#N/A</v>
      </c>
      <c r="W144" s="3" t="s">
        <v>519</v>
      </c>
    </row>
    <row r="145" spans="1:23" x14ac:dyDescent="0.3">
      <c r="A145" s="7" t="s">
        <v>281</v>
      </c>
      <c r="B145" s="8" t="s">
        <v>282</v>
      </c>
      <c r="C145" s="8" t="s">
        <v>515</v>
      </c>
      <c r="D145" s="8" t="s">
        <v>284</v>
      </c>
      <c r="E145" s="8">
        <v>2357</v>
      </c>
      <c r="F145" s="9">
        <v>21</v>
      </c>
      <c r="G145" s="10">
        <v>15</v>
      </c>
      <c r="H145" s="10">
        <v>315</v>
      </c>
      <c r="I145" s="8" t="s">
        <v>1376</v>
      </c>
      <c r="J145" s="8" t="s">
        <v>1377</v>
      </c>
      <c r="K145" s="8" t="s">
        <v>492</v>
      </c>
      <c r="L145" s="8" t="s">
        <v>516</v>
      </c>
      <c r="M145" s="8" t="s">
        <v>494</v>
      </c>
      <c r="N145" s="8" t="s">
        <v>495</v>
      </c>
      <c r="O145" s="8" t="s">
        <v>285</v>
      </c>
      <c r="P145" s="8" t="s">
        <v>517</v>
      </c>
      <c r="Q145" s="11">
        <v>382</v>
      </c>
      <c r="R145" s="11">
        <v>120330</v>
      </c>
      <c r="S145" s="9">
        <v>44</v>
      </c>
      <c r="T145" s="8" t="s">
        <v>79</v>
      </c>
      <c r="U145" s="9">
        <v>21</v>
      </c>
      <c r="V145" s="8" t="e">
        <f>VLOOKUP(E145,'[1]Consolidated Stock'!$E:$V,18,0)</f>
        <v>#N/A</v>
      </c>
      <c r="W145" s="8" t="s">
        <v>520</v>
      </c>
    </row>
    <row r="146" spans="1:23" x14ac:dyDescent="0.3">
      <c r="A146" s="2" t="s">
        <v>281</v>
      </c>
      <c r="B146" s="3" t="s">
        <v>282</v>
      </c>
      <c r="C146" s="3" t="s">
        <v>515</v>
      </c>
      <c r="D146" s="3" t="s">
        <v>284</v>
      </c>
      <c r="E146" s="3">
        <v>2358</v>
      </c>
      <c r="F146" s="4">
        <v>9</v>
      </c>
      <c r="G146" s="5">
        <v>15</v>
      </c>
      <c r="H146" s="5">
        <v>135</v>
      </c>
      <c r="I146" s="3" t="s">
        <v>1376</v>
      </c>
      <c r="J146" s="3" t="s">
        <v>1377</v>
      </c>
      <c r="K146" s="3" t="s">
        <v>492</v>
      </c>
      <c r="L146" s="3" t="s">
        <v>516</v>
      </c>
      <c r="M146" s="3" t="s">
        <v>494</v>
      </c>
      <c r="N146" s="3" t="s">
        <v>495</v>
      </c>
      <c r="O146" s="3" t="s">
        <v>285</v>
      </c>
      <c r="P146" s="3" t="s">
        <v>517</v>
      </c>
      <c r="Q146" s="6">
        <v>382</v>
      </c>
      <c r="R146" s="6">
        <v>51570</v>
      </c>
      <c r="S146" s="4">
        <v>44</v>
      </c>
      <c r="T146" s="3" t="s">
        <v>79</v>
      </c>
      <c r="U146" s="4">
        <v>9</v>
      </c>
      <c r="V146" s="3" t="e">
        <f>VLOOKUP(E146,'[1]Consolidated Stock'!$E:$V,18,0)</f>
        <v>#N/A</v>
      </c>
      <c r="W146" s="3" t="s">
        <v>521</v>
      </c>
    </row>
    <row r="147" spans="1:23" x14ac:dyDescent="0.3">
      <c r="A147" s="7" t="s">
        <v>281</v>
      </c>
      <c r="B147" s="8" t="s">
        <v>282</v>
      </c>
      <c r="C147" s="8" t="s">
        <v>515</v>
      </c>
      <c r="D147" s="8" t="s">
        <v>284</v>
      </c>
      <c r="E147" s="8">
        <v>2359</v>
      </c>
      <c r="F147" s="9">
        <v>44</v>
      </c>
      <c r="G147" s="10">
        <v>15</v>
      </c>
      <c r="H147" s="10">
        <v>660</v>
      </c>
      <c r="I147" s="8" t="s">
        <v>1376</v>
      </c>
      <c r="J147" s="8" t="s">
        <v>1377</v>
      </c>
      <c r="K147" s="8" t="s">
        <v>492</v>
      </c>
      <c r="L147" s="8" t="s">
        <v>516</v>
      </c>
      <c r="M147" s="8" t="s">
        <v>494</v>
      </c>
      <c r="N147" s="8" t="s">
        <v>495</v>
      </c>
      <c r="O147" s="8" t="s">
        <v>285</v>
      </c>
      <c r="P147" s="8" t="s">
        <v>517</v>
      </c>
      <c r="Q147" s="11">
        <v>382</v>
      </c>
      <c r="R147" s="11">
        <v>252120</v>
      </c>
      <c r="S147" s="9">
        <v>44</v>
      </c>
      <c r="T147" s="8" t="s">
        <v>79</v>
      </c>
      <c r="U147" s="9">
        <v>44</v>
      </c>
      <c r="V147" s="8" t="e">
        <f>VLOOKUP(E147,'[1]Consolidated Stock'!$E:$V,18,0)</f>
        <v>#N/A</v>
      </c>
      <c r="W147" s="8" t="s">
        <v>522</v>
      </c>
    </row>
    <row r="148" spans="1:23" x14ac:dyDescent="0.3">
      <c r="A148" s="2" t="s">
        <v>281</v>
      </c>
      <c r="B148" s="3" t="s">
        <v>282</v>
      </c>
      <c r="C148" s="3" t="s">
        <v>515</v>
      </c>
      <c r="D148" s="3" t="s">
        <v>284</v>
      </c>
      <c r="E148" s="3">
        <v>2360</v>
      </c>
      <c r="F148" s="4">
        <v>49</v>
      </c>
      <c r="G148" s="5">
        <v>15</v>
      </c>
      <c r="H148" s="5">
        <v>735</v>
      </c>
      <c r="I148" s="3" t="s">
        <v>1376</v>
      </c>
      <c r="J148" s="3" t="s">
        <v>1377</v>
      </c>
      <c r="K148" s="3" t="s">
        <v>492</v>
      </c>
      <c r="L148" s="3" t="s">
        <v>516</v>
      </c>
      <c r="M148" s="3" t="s">
        <v>494</v>
      </c>
      <c r="N148" s="3" t="s">
        <v>495</v>
      </c>
      <c r="O148" s="3" t="s">
        <v>285</v>
      </c>
      <c r="P148" s="3" t="s">
        <v>517</v>
      </c>
      <c r="Q148" s="6">
        <v>382</v>
      </c>
      <c r="R148" s="6">
        <v>280770</v>
      </c>
      <c r="S148" s="4">
        <v>44</v>
      </c>
      <c r="T148" s="3" t="s">
        <v>79</v>
      </c>
      <c r="U148" s="4">
        <v>49</v>
      </c>
      <c r="V148" s="3" t="e">
        <f>VLOOKUP(E148,'[1]Consolidated Stock'!$E:$V,18,0)</f>
        <v>#N/A</v>
      </c>
      <c r="W148" s="3" t="s">
        <v>523</v>
      </c>
    </row>
    <row r="149" spans="1:23" x14ac:dyDescent="0.3">
      <c r="A149" s="7" t="s">
        <v>281</v>
      </c>
      <c r="B149" s="8" t="s">
        <v>282</v>
      </c>
      <c r="C149" s="8" t="s">
        <v>515</v>
      </c>
      <c r="D149" s="8" t="s">
        <v>284</v>
      </c>
      <c r="E149" s="8">
        <v>2361</v>
      </c>
      <c r="F149" s="9">
        <v>11</v>
      </c>
      <c r="G149" s="10">
        <v>15</v>
      </c>
      <c r="H149" s="10">
        <v>165</v>
      </c>
      <c r="I149" s="8" t="s">
        <v>1376</v>
      </c>
      <c r="J149" s="8" t="s">
        <v>1377</v>
      </c>
      <c r="K149" s="8" t="s">
        <v>492</v>
      </c>
      <c r="L149" s="8" t="s">
        <v>516</v>
      </c>
      <c r="M149" s="8" t="s">
        <v>494</v>
      </c>
      <c r="N149" s="8" t="s">
        <v>495</v>
      </c>
      <c r="O149" s="8" t="s">
        <v>285</v>
      </c>
      <c r="P149" s="8" t="s">
        <v>517</v>
      </c>
      <c r="Q149" s="11">
        <v>382</v>
      </c>
      <c r="R149" s="11">
        <v>63030</v>
      </c>
      <c r="S149" s="9">
        <v>44</v>
      </c>
      <c r="T149" s="8" t="s">
        <v>79</v>
      </c>
      <c r="U149" s="9">
        <v>11</v>
      </c>
      <c r="V149" s="8" t="e">
        <f>VLOOKUP(E149,'[1]Consolidated Stock'!$E:$V,18,0)</f>
        <v>#N/A</v>
      </c>
      <c r="W149" s="8" t="s">
        <v>524</v>
      </c>
    </row>
    <row r="150" spans="1:23" x14ac:dyDescent="0.3">
      <c r="A150" s="2" t="s">
        <v>281</v>
      </c>
      <c r="B150" s="3" t="s">
        <v>282</v>
      </c>
      <c r="C150" s="3" t="s">
        <v>515</v>
      </c>
      <c r="D150" s="3" t="s">
        <v>284</v>
      </c>
      <c r="E150" s="3">
        <v>2362</v>
      </c>
      <c r="F150" s="4">
        <v>22</v>
      </c>
      <c r="G150" s="5">
        <v>15</v>
      </c>
      <c r="H150" s="5">
        <v>330</v>
      </c>
      <c r="I150" s="3" t="s">
        <v>1376</v>
      </c>
      <c r="J150" s="3" t="s">
        <v>1377</v>
      </c>
      <c r="K150" s="3" t="s">
        <v>492</v>
      </c>
      <c r="L150" s="3" t="s">
        <v>516</v>
      </c>
      <c r="M150" s="3" t="s">
        <v>494</v>
      </c>
      <c r="N150" s="3" t="s">
        <v>495</v>
      </c>
      <c r="O150" s="3" t="s">
        <v>285</v>
      </c>
      <c r="P150" s="3" t="s">
        <v>517</v>
      </c>
      <c r="Q150" s="6">
        <v>382</v>
      </c>
      <c r="R150" s="6">
        <v>126060</v>
      </c>
      <c r="S150" s="4">
        <v>44</v>
      </c>
      <c r="T150" s="3" t="s">
        <v>79</v>
      </c>
      <c r="U150" s="4">
        <v>22</v>
      </c>
      <c r="V150" s="3" t="e">
        <f>VLOOKUP(E150,'[1]Consolidated Stock'!$E:$V,18,0)</f>
        <v>#N/A</v>
      </c>
      <c r="W150" s="3" t="s">
        <v>525</v>
      </c>
    </row>
    <row r="151" spans="1:23" x14ac:dyDescent="0.3">
      <c r="A151" s="7" t="s">
        <v>281</v>
      </c>
      <c r="B151" s="8" t="s">
        <v>282</v>
      </c>
      <c r="C151" s="8" t="s">
        <v>515</v>
      </c>
      <c r="D151" s="8" t="s">
        <v>284</v>
      </c>
      <c r="E151" s="8">
        <v>2363</v>
      </c>
      <c r="F151" s="9">
        <v>11</v>
      </c>
      <c r="G151" s="10">
        <v>15</v>
      </c>
      <c r="H151" s="10">
        <v>165</v>
      </c>
      <c r="I151" s="8" t="s">
        <v>1376</v>
      </c>
      <c r="J151" s="8" t="s">
        <v>1377</v>
      </c>
      <c r="K151" s="8" t="s">
        <v>492</v>
      </c>
      <c r="L151" s="8" t="s">
        <v>516</v>
      </c>
      <c r="M151" s="8" t="s">
        <v>494</v>
      </c>
      <c r="N151" s="8" t="s">
        <v>495</v>
      </c>
      <c r="O151" s="8" t="s">
        <v>285</v>
      </c>
      <c r="P151" s="8" t="s">
        <v>517</v>
      </c>
      <c r="Q151" s="11">
        <v>382</v>
      </c>
      <c r="R151" s="11">
        <v>63030</v>
      </c>
      <c r="S151" s="9">
        <v>44</v>
      </c>
      <c r="T151" s="8" t="s">
        <v>79</v>
      </c>
      <c r="U151" s="9">
        <v>11</v>
      </c>
      <c r="V151" s="8" t="e">
        <f>VLOOKUP(E151,'[1]Consolidated Stock'!$E:$V,18,0)</f>
        <v>#N/A</v>
      </c>
      <c r="W151" s="8" t="s">
        <v>526</v>
      </c>
    </row>
    <row r="152" spans="1:23" x14ac:dyDescent="0.3">
      <c r="A152" s="2" t="s">
        <v>281</v>
      </c>
      <c r="B152" s="3" t="s">
        <v>282</v>
      </c>
      <c r="C152" s="3" t="s">
        <v>515</v>
      </c>
      <c r="D152" s="3" t="s">
        <v>284</v>
      </c>
      <c r="E152" s="3">
        <v>2364</v>
      </c>
      <c r="F152" s="4">
        <v>11</v>
      </c>
      <c r="G152" s="5">
        <v>15</v>
      </c>
      <c r="H152" s="5">
        <v>165</v>
      </c>
      <c r="I152" s="3" t="s">
        <v>1376</v>
      </c>
      <c r="J152" s="3" t="s">
        <v>1377</v>
      </c>
      <c r="K152" s="3" t="s">
        <v>492</v>
      </c>
      <c r="L152" s="3" t="s">
        <v>516</v>
      </c>
      <c r="M152" s="3" t="s">
        <v>494</v>
      </c>
      <c r="N152" s="3" t="s">
        <v>495</v>
      </c>
      <c r="O152" s="3" t="s">
        <v>285</v>
      </c>
      <c r="P152" s="3" t="s">
        <v>517</v>
      </c>
      <c r="Q152" s="6">
        <v>382</v>
      </c>
      <c r="R152" s="6">
        <v>63030</v>
      </c>
      <c r="S152" s="4">
        <v>44</v>
      </c>
      <c r="T152" s="3" t="s">
        <v>79</v>
      </c>
      <c r="U152" s="4">
        <v>11</v>
      </c>
      <c r="V152" s="3" t="e">
        <f>VLOOKUP(E152,'[1]Consolidated Stock'!$E:$V,18,0)</f>
        <v>#N/A</v>
      </c>
      <c r="W152" s="3" t="s">
        <v>527</v>
      </c>
    </row>
    <row r="153" spans="1:23" x14ac:dyDescent="0.3">
      <c r="A153" s="7" t="s">
        <v>281</v>
      </c>
      <c r="B153" s="8" t="s">
        <v>282</v>
      </c>
      <c r="C153" s="8" t="s">
        <v>515</v>
      </c>
      <c r="D153" s="8" t="s">
        <v>284</v>
      </c>
      <c r="E153" s="8">
        <v>2365</v>
      </c>
      <c r="F153" s="9">
        <v>48</v>
      </c>
      <c r="G153" s="10">
        <v>15</v>
      </c>
      <c r="H153" s="10">
        <v>720</v>
      </c>
      <c r="I153" s="8" t="s">
        <v>1376</v>
      </c>
      <c r="J153" s="8" t="s">
        <v>1377</v>
      </c>
      <c r="K153" s="8" t="s">
        <v>492</v>
      </c>
      <c r="L153" s="8" t="s">
        <v>516</v>
      </c>
      <c r="M153" s="8" t="s">
        <v>494</v>
      </c>
      <c r="N153" s="8" t="s">
        <v>495</v>
      </c>
      <c r="O153" s="8" t="s">
        <v>285</v>
      </c>
      <c r="P153" s="8" t="s">
        <v>517</v>
      </c>
      <c r="Q153" s="11">
        <v>382</v>
      </c>
      <c r="R153" s="11">
        <v>275040</v>
      </c>
      <c r="S153" s="9">
        <v>44</v>
      </c>
      <c r="T153" s="8" t="s">
        <v>79</v>
      </c>
      <c r="U153" s="9">
        <v>48</v>
      </c>
      <c r="V153" s="8" t="e">
        <f>VLOOKUP(E153,'[1]Consolidated Stock'!$E:$V,18,0)</f>
        <v>#N/A</v>
      </c>
      <c r="W153" s="8" t="s">
        <v>528</v>
      </c>
    </row>
    <row r="154" spans="1:23" x14ac:dyDescent="0.3">
      <c r="A154" s="2" t="s">
        <v>281</v>
      </c>
      <c r="B154" s="3" t="s">
        <v>282</v>
      </c>
      <c r="C154" s="3" t="s">
        <v>515</v>
      </c>
      <c r="D154" s="3" t="s">
        <v>284</v>
      </c>
      <c r="E154" s="3">
        <v>2366</v>
      </c>
      <c r="F154" s="4">
        <v>37</v>
      </c>
      <c r="G154" s="5">
        <v>15</v>
      </c>
      <c r="H154" s="5">
        <v>555</v>
      </c>
      <c r="I154" s="3" t="s">
        <v>1376</v>
      </c>
      <c r="J154" s="3" t="s">
        <v>1377</v>
      </c>
      <c r="K154" s="3" t="s">
        <v>492</v>
      </c>
      <c r="L154" s="3" t="s">
        <v>516</v>
      </c>
      <c r="M154" s="3" t="s">
        <v>494</v>
      </c>
      <c r="N154" s="3" t="s">
        <v>495</v>
      </c>
      <c r="O154" s="3" t="s">
        <v>285</v>
      </c>
      <c r="P154" s="3" t="s">
        <v>517</v>
      </c>
      <c r="Q154" s="6">
        <v>382</v>
      </c>
      <c r="R154" s="6">
        <v>212010</v>
      </c>
      <c r="S154" s="4">
        <v>44</v>
      </c>
      <c r="T154" s="3" t="s">
        <v>79</v>
      </c>
      <c r="U154" s="4">
        <v>37</v>
      </c>
      <c r="V154" s="3" t="e">
        <f>VLOOKUP(E154,'[1]Consolidated Stock'!$E:$V,18,0)</f>
        <v>#N/A</v>
      </c>
      <c r="W154" s="3" t="s">
        <v>529</v>
      </c>
    </row>
    <row r="155" spans="1:23" x14ac:dyDescent="0.3">
      <c r="A155" s="7" t="s">
        <v>281</v>
      </c>
      <c r="B155" s="8" t="s">
        <v>282</v>
      </c>
      <c r="C155" s="8" t="s">
        <v>515</v>
      </c>
      <c r="D155" s="8" t="s">
        <v>284</v>
      </c>
      <c r="E155" s="8">
        <v>2367</v>
      </c>
      <c r="F155" s="9">
        <v>50</v>
      </c>
      <c r="G155" s="10">
        <v>15</v>
      </c>
      <c r="H155" s="10">
        <v>750</v>
      </c>
      <c r="I155" s="8" t="s">
        <v>1376</v>
      </c>
      <c r="J155" s="8" t="s">
        <v>1377</v>
      </c>
      <c r="K155" s="8" t="s">
        <v>492</v>
      </c>
      <c r="L155" s="8" t="s">
        <v>516</v>
      </c>
      <c r="M155" s="8" t="s">
        <v>494</v>
      </c>
      <c r="N155" s="8" t="s">
        <v>495</v>
      </c>
      <c r="O155" s="8" t="s">
        <v>285</v>
      </c>
      <c r="P155" s="8" t="s">
        <v>517</v>
      </c>
      <c r="Q155" s="11">
        <v>382</v>
      </c>
      <c r="R155" s="11">
        <v>286500</v>
      </c>
      <c r="S155" s="9">
        <v>44</v>
      </c>
      <c r="T155" s="8" t="s">
        <v>79</v>
      </c>
      <c r="U155" s="9">
        <v>50</v>
      </c>
      <c r="V155" s="8" t="e">
        <f>VLOOKUP(E155,'[1]Consolidated Stock'!$E:$V,18,0)</f>
        <v>#N/A</v>
      </c>
      <c r="W155" s="8" t="s">
        <v>530</v>
      </c>
    </row>
    <row r="156" spans="1:23" x14ac:dyDescent="0.3">
      <c r="A156" s="2" t="s">
        <v>281</v>
      </c>
      <c r="B156" s="3" t="s">
        <v>282</v>
      </c>
      <c r="C156" s="3" t="s">
        <v>515</v>
      </c>
      <c r="D156" s="3" t="s">
        <v>284</v>
      </c>
      <c r="E156" s="3">
        <v>2368</v>
      </c>
      <c r="F156" s="4">
        <v>22</v>
      </c>
      <c r="G156" s="5">
        <v>15</v>
      </c>
      <c r="H156" s="5">
        <v>330</v>
      </c>
      <c r="I156" s="3" t="s">
        <v>1376</v>
      </c>
      <c r="J156" s="3" t="s">
        <v>1377</v>
      </c>
      <c r="K156" s="3" t="s">
        <v>492</v>
      </c>
      <c r="L156" s="3" t="s">
        <v>516</v>
      </c>
      <c r="M156" s="3" t="s">
        <v>494</v>
      </c>
      <c r="N156" s="3" t="s">
        <v>495</v>
      </c>
      <c r="O156" s="3" t="s">
        <v>285</v>
      </c>
      <c r="P156" s="3" t="s">
        <v>517</v>
      </c>
      <c r="Q156" s="6">
        <v>382</v>
      </c>
      <c r="R156" s="6">
        <v>126060</v>
      </c>
      <c r="S156" s="4">
        <v>44</v>
      </c>
      <c r="T156" s="3" t="s">
        <v>79</v>
      </c>
      <c r="U156" s="4">
        <v>22</v>
      </c>
      <c r="V156" s="3" t="e">
        <f>VLOOKUP(E156,'[1]Consolidated Stock'!$E:$V,18,0)</f>
        <v>#N/A</v>
      </c>
      <c r="W156" s="3" t="s">
        <v>531</v>
      </c>
    </row>
    <row r="157" spans="1:23" x14ac:dyDescent="0.3">
      <c r="A157" s="7" t="s">
        <v>281</v>
      </c>
      <c r="B157" s="8" t="s">
        <v>282</v>
      </c>
      <c r="C157" s="8" t="s">
        <v>515</v>
      </c>
      <c r="D157" s="8" t="s">
        <v>284</v>
      </c>
      <c r="E157" s="8">
        <v>2369</v>
      </c>
      <c r="F157" s="9">
        <v>12</v>
      </c>
      <c r="G157" s="10">
        <v>15</v>
      </c>
      <c r="H157" s="10">
        <v>180</v>
      </c>
      <c r="I157" s="8" t="s">
        <v>1376</v>
      </c>
      <c r="J157" s="8" t="s">
        <v>1377</v>
      </c>
      <c r="K157" s="8" t="s">
        <v>492</v>
      </c>
      <c r="L157" s="8" t="s">
        <v>516</v>
      </c>
      <c r="M157" s="8" t="s">
        <v>494</v>
      </c>
      <c r="N157" s="8" t="s">
        <v>495</v>
      </c>
      <c r="O157" s="8" t="s">
        <v>285</v>
      </c>
      <c r="P157" s="8" t="s">
        <v>517</v>
      </c>
      <c r="Q157" s="11">
        <v>382</v>
      </c>
      <c r="R157" s="11">
        <v>68760</v>
      </c>
      <c r="S157" s="9">
        <v>44</v>
      </c>
      <c r="T157" s="8" t="s">
        <v>79</v>
      </c>
      <c r="U157" s="9">
        <v>12</v>
      </c>
      <c r="V157" s="8" t="e">
        <f>VLOOKUP(E157,'[1]Consolidated Stock'!$E:$V,18,0)</f>
        <v>#N/A</v>
      </c>
      <c r="W157" s="8" t="s">
        <v>532</v>
      </c>
    </row>
    <row r="158" spans="1:23" x14ac:dyDescent="0.3">
      <c r="A158" s="2" t="s">
        <v>281</v>
      </c>
      <c r="B158" s="3" t="s">
        <v>282</v>
      </c>
      <c r="C158" s="3" t="s">
        <v>515</v>
      </c>
      <c r="D158" s="3" t="s">
        <v>284</v>
      </c>
      <c r="E158" s="3">
        <v>2370</v>
      </c>
      <c r="F158" s="4">
        <v>18</v>
      </c>
      <c r="G158" s="5">
        <v>15</v>
      </c>
      <c r="H158" s="5">
        <v>270</v>
      </c>
      <c r="I158" s="3" t="s">
        <v>1376</v>
      </c>
      <c r="J158" s="3" t="s">
        <v>1377</v>
      </c>
      <c r="K158" s="3" t="s">
        <v>492</v>
      </c>
      <c r="L158" s="3" t="s">
        <v>516</v>
      </c>
      <c r="M158" s="3" t="s">
        <v>494</v>
      </c>
      <c r="N158" s="3" t="s">
        <v>495</v>
      </c>
      <c r="O158" s="3" t="s">
        <v>285</v>
      </c>
      <c r="P158" s="3" t="s">
        <v>517</v>
      </c>
      <c r="Q158" s="6">
        <v>382</v>
      </c>
      <c r="R158" s="6">
        <v>103140</v>
      </c>
      <c r="S158" s="4">
        <v>44</v>
      </c>
      <c r="T158" s="3" t="s">
        <v>79</v>
      </c>
      <c r="U158" s="4">
        <v>18</v>
      </c>
      <c r="V158" s="3" t="e">
        <f>VLOOKUP(E158,'[1]Consolidated Stock'!$E:$V,18,0)</f>
        <v>#N/A</v>
      </c>
      <c r="W158" s="3" t="s">
        <v>533</v>
      </c>
    </row>
    <row r="159" spans="1:23" x14ac:dyDescent="0.3">
      <c r="A159" s="7" t="s">
        <v>281</v>
      </c>
      <c r="B159" s="8" t="s">
        <v>282</v>
      </c>
      <c r="C159" s="8" t="s">
        <v>515</v>
      </c>
      <c r="D159" s="8" t="s">
        <v>284</v>
      </c>
      <c r="E159" s="8">
        <v>2371</v>
      </c>
      <c r="F159" s="9">
        <v>15</v>
      </c>
      <c r="G159" s="10">
        <v>15</v>
      </c>
      <c r="H159" s="10">
        <v>225</v>
      </c>
      <c r="I159" s="8" t="s">
        <v>1376</v>
      </c>
      <c r="J159" s="8" t="s">
        <v>1377</v>
      </c>
      <c r="K159" s="8" t="s">
        <v>492</v>
      </c>
      <c r="L159" s="8" t="s">
        <v>516</v>
      </c>
      <c r="M159" s="8" t="s">
        <v>494</v>
      </c>
      <c r="N159" s="8" t="s">
        <v>495</v>
      </c>
      <c r="O159" s="8" t="s">
        <v>285</v>
      </c>
      <c r="P159" s="8" t="s">
        <v>517</v>
      </c>
      <c r="Q159" s="11">
        <v>382</v>
      </c>
      <c r="R159" s="11">
        <v>85950</v>
      </c>
      <c r="S159" s="9">
        <v>44</v>
      </c>
      <c r="T159" s="8" t="s">
        <v>79</v>
      </c>
      <c r="U159" s="9">
        <v>15</v>
      </c>
      <c r="V159" s="8" t="e">
        <f>VLOOKUP(E159,'[1]Consolidated Stock'!$E:$V,18,0)</f>
        <v>#N/A</v>
      </c>
      <c r="W159" s="8" t="s">
        <v>534</v>
      </c>
    </row>
    <row r="160" spans="1:23" x14ac:dyDescent="0.3">
      <c r="A160" s="2" t="s">
        <v>281</v>
      </c>
      <c r="B160" s="3" t="s">
        <v>282</v>
      </c>
      <c r="C160" s="3" t="s">
        <v>515</v>
      </c>
      <c r="D160" s="3" t="s">
        <v>284</v>
      </c>
      <c r="E160" s="3">
        <v>2372</v>
      </c>
      <c r="F160" s="4">
        <v>34</v>
      </c>
      <c r="G160" s="5">
        <v>15</v>
      </c>
      <c r="H160" s="5">
        <v>510</v>
      </c>
      <c r="I160" s="3" t="s">
        <v>1376</v>
      </c>
      <c r="J160" s="3" t="s">
        <v>1377</v>
      </c>
      <c r="K160" s="3" t="s">
        <v>492</v>
      </c>
      <c r="L160" s="3" t="s">
        <v>516</v>
      </c>
      <c r="M160" s="3" t="s">
        <v>494</v>
      </c>
      <c r="N160" s="3" t="s">
        <v>495</v>
      </c>
      <c r="O160" s="3" t="s">
        <v>285</v>
      </c>
      <c r="P160" s="3" t="s">
        <v>517</v>
      </c>
      <c r="Q160" s="6">
        <v>382</v>
      </c>
      <c r="R160" s="6">
        <v>194820</v>
      </c>
      <c r="S160" s="4">
        <v>44</v>
      </c>
      <c r="T160" s="3" t="s">
        <v>79</v>
      </c>
      <c r="U160" s="4">
        <v>34</v>
      </c>
      <c r="V160" s="3" t="e">
        <f>VLOOKUP(E160,'[1]Consolidated Stock'!$E:$V,18,0)</f>
        <v>#N/A</v>
      </c>
      <c r="W160" s="3" t="s">
        <v>535</v>
      </c>
    </row>
    <row r="161" spans="1:23" x14ac:dyDescent="0.3">
      <c r="A161" s="7" t="s">
        <v>281</v>
      </c>
      <c r="B161" s="8" t="s">
        <v>282</v>
      </c>
      <c r="C161" s="8" t="s">
        <v>515</v>
      </c>
      <c r="D161" s="8" t="s">
        <v>284</v>
      </c>
      <c r="E161" s="8">
        <v>2373</v>
      </c>
      <c r="F161" s="9">
        <v>14</v>
      </c>
      <c r="G161" s="10">
        <v>15</v>
      </c>
      <c r="H161" s="10">
        <v>210</v>
      </c>
      <c r="I161" s="8" t="s">
        <v>1376</v>
      </c>
      <c r="J161" s="8" t="s">
        <v>1377</v>
      </c>
      <c r="K161" s="8" t="s">
        <v>492</v>
      </c>
      <c r="L161" s="8" t="s">
        <v>516</v>
      </c>
      <c r="M161" s="8" t="s">
        <v>494</v>
      </c>
      <c r="N161" s="8" t="s">
        <v>495</v>
      </c>
      <c r="O161" s="8" t="s">
        <v>285</v>
      </c>
      <c r="P161" s="8" t="s">
        <v>517</v>
      </c>
      <c r="Q161" s="11">
        <v>382</v>
      </c>
      <c r="R161" s="11">
        <v>80220</v>
      </c>
      <c r="S161" s="9">
        <v>44</v>
      </c>
      <c r="T161" s="8" t="s">
        <v>79</v>
      </c>
      <c r="U161" s="9">
        <v>14</v>
      </c>
      <c r="V161" s="8" t="e">
        <f>VLOOKUP(E161,'[1]Consolidated Stock'!$E:$V,18,0)</f>
        <v>#N/A</v>
      </c>
      <c r="W161" s="8" t="s">
        <v>536</v>
      </c>
    </row>
    <row r="162" spans="1:23" x14ac:dyDescent="0.3">
      <c r="A162" s="2" t="s">
        <v>281</v>
      </c>
      <c r="B162" s="3" t="s">
        <v>282</v>
      </c>
      <c r="C162" s="3" t="s">
        <v>515</v>
      </c>
      <c r="D162" s="3" t="s">
        <v>284</v>
      </c>
      <c r="E162" s="3">
        <v>2374</v>
      </c>
      <c r="F162" s="4">
        <v>15</v>
      </c>
      <c r="G162" s="5">
        <v>15</v>
      </c>
      <c r="H162" s="5">
        <v>225</v>
      </c>
      <c r="I162" s="3" t="s">
        <v>1376</v>
      </c>
      <c r="J162" s="3" t="s">
        <v>1377</v>
      </c>
      <c r="K162" s="3" t="s">
        <v>492</v>
      </c>
      <c r="L162" s="3" t="s">
        <v>516</v>
      </c>
      <c r="M162" s="3" t="s">
        <v>494</v>
      </c>
      <c r="N162" s="3" t="s">
        <v>495</v>
      </c>
      <c r="O162" s="3" t="s">
        <v>285</v>
      </c>
      <c r="P162" s="3" t="s">
        <v>517</v>
      </c>
      <c r="Q162" s="6">
        <v>382</v>
      </c>
      <c r="R162" s="6">
        <v>85950</v>
      </c>
      <c r="S162" s="4">
        <v>44</v>
      </c>
      <c r="T162" s="3" t="s">
        <v>79</v>
      </c>
      <c r="U162" s="4">
        <v>15</v>
      </c>
      <c r="V162" s="3" t="e">
        <f>VLOOKUP(E162,'[1]Consolidated Stock'!$E:$V,18,0)</f>
        <v>#N/A</v>
      </c>
      <c r="W162" s="3" t="s">
        <v>537</v>
      </c>
    </row>
    <row r="163" spans="1:23" x14ac:dyDescent="0.3">
      <c r="A163" s="7" t="s">
        <v>281</v>
      </c>
      <c r="B163" s="8" t="s">
        <v>282</v>
      </c>
      <c r="C163" s="8" t="s">
        <v>515</v>
      </c>
      <c r="D163" s="8" t="s">
        <v>284</v>
      </c>
      <c r="E163" s="8">
        <v>2375</v>
      </c>
      <c r="F163" s="9">
        <v>40</v>
      </c>
      <c r="G163" s="10">
        <v>15</v>
      </c>
      <c r="H163" s="10">
        <v>600</v>
      </c>
      <c r="I163" s="8" t="s">
        <v>1376</v>
      </c>
      <c r="J163" s="8" t="s">
        <v>1377</v>
      </c>
      <c r="K163" s="8" t="s">
        <v>492</v>
      </c>
      <c r="L163" s="8" t="s">
        <v>516</v>
      </c>
      <c r="M163" s="8" t="s">
        <v>494</v>
      </c>
      <c r="N163" s="8" t="s">
        <v>495</v>
      </c>
      <c r="O163" s="8" t="s">
        <v>285</v>
      </c>
      <c r="P163" s="8" t="s">
        <v>517</v>
      </c>
      <c r="Q163" s="11">
        <v>382</v>
      </c>
      <c r="R163" s="11">
        <v>229200</v>
      </c>
      <c r="S163" s="9">
        <v>44</v>
      </c>
      <c r="T163" s="8" t="s">
        <v>79</v>
      </c>
      <c r="U163" s="9">
        <v>40</v>
      </c>
      <c r="V163" s="8" t="e">
        <f>VLOOKUP(E163,'[1]Consolidated Stock'!$E:$V,18,0)</f>
        <v>#N/A</v>
      </c>
      <c r="W163" s="8" t="s">
        <v>538</v>
      </c>
    </row>
    <row r="164" spans="1:23" x14ac:dyDescent="0.3">
      <c r="A164" s="2" t="s">
        <v>281</v>
      </c>
      <c r="B164" s="3" t="s">
        <v>282</v>
      </c>
      <c r="C164" s="3" t="s">
        <v>515</v>
      </c>
      <c r="D164" s="3" t="s">
        <v>284</v>
      </c>
      <c r="E164" s="3">
        <v>2376</v>
      </c>
      <c r="F164" s="4">
        <v>28</v>
      </c>
      <c r="G164" s="5">
        <v>15</v>
      </c>
      <c r="H164" s="5">
        <v>420</v>
      </c>
      <c r="I164" s="3" t="s">
        <v>1376</v>
      </c>
      <c r="J164" s="3" t="s">
        <v>1377</v>
      </c>
      <c r="K164" s="3" t="s">
        <v>492</v>
      </c>
      <c r="L164" s="3" t="s">
        <v>516</v>
      </c>
      <c r="M164" s="3" t="s">
        <v>494</v>
      </c>
      <c r="N164" s="3" t="s">
        <v>495</v>
      </c>
      <c r="O164" s="3" t="s">
        <v>285</v>
      </c>
      <c r="P164" s="3" t="s">
        <v>517</v>
      </c>
      <c r="Q164" s="6">
        <v>382</v>
      </c>
      <c r="R164" s="6">
        <v>160440</v>
      </c>
      <c r="S164" s="4">
        <v>44</v>
      </c>
      <c r="T164" s="3" t="s">
        <v>79</v>
      </c>
      <c r="U164" s="4">
        <v>28</v>
      </c>
      <c r="V164" s="3" t="e">
        <f>VLOOKUP(E164,'[1]Consolidated Stock'!$E:$V,18,0)</f>
        <v>#N/A</v>
      </c>
      <c r="W164" s="3" t="s">
        <v>539</v>
      </c>
    </row>
    <row r="165" spans="1:23" x14ac:dyDescent="0.3">
      <c r="A165" s="7" t="s">
        <v>281</v>
      </c>
      <c r="B165" s="8" t="s">
        <v>282</v>
      </c>
      <c r="C165" s="8" t="s">
        <v>515</v>
      </c>
      <c r="D165" s="8" t="s">
        <v>284</v>
      </c>
      <c r="E165" s="8">
        <v>2377</v>
      </c>
      <c r="F165" s="9">
        <v>32</v>
      </c>
      <c r="G165" s="10">
        <v>15</v>
      </c>
      <c r="H165" s="10">
        <v>480</v>
      </c>
      <c r="I165" s="8" t="s">
        <v>1376</v>
      </c>
      <c r="J165" s="8" t="s">
        <v>1377</v>
      </c>
      <c r="K165" s="8" t="s">
        <v>492</v>
      </c>
      <c r="L165" s="8" t="s">
        <v>516</v>
      </c>
      <c r="M165" s="8" t="s">
        <v>494</v>
      </c>
      <c r="N165" s="8" t="s">
        <v>495</v>
      </c>
      <c r="O165" s="8" t="s">
        <v>285</v>
      </c>
      <c r="P165" s="8" t="s">
        <v>517</v>
      </c>
      <c r="Q165" s="11">
        <v>382</v>
      </c>
      <c r="R165" s="11">
        <v>183360</v>
      </c>
      <c r="S165" s="9">
        <v>44</v>
      </c>
      <c r="T165" s="8" t="s">
        <v>79</v>
      </c>
      <c r="U165" s="9">
        <v>32</v>
      </c>
      <c r="V165" s="8" t="e">
        <f>VLOOKUP(E165,'[1]Consolidated Stock'!$E:$V,18,0)</f>
        <v>#N/A</v>
      </c>
      <c r="W165" s="8" t="s">
        <v>540</v>
      </c>
    </row>
    <row r="166" spans="1:23" x14ac:dyDescent="0.3">
      <c r="A166" s="2" t="s">
        <v>281</v>
      </c>
      <c r="B166" s="3" t="s">
        <v>282</v>
      </c>
      <c r="C166" s="3" t="s">
        <v>515</v>
      </c>
      <c r="D166" s="3" t="s">
        <v>284</v>
      </c>
      <c r="E166" s="3">
        <v>2378</v>
      </c>
      <c r="F166" s="4">
        <v>32</v>
      </c>
      <c r="G166" s="5">
        <v>15</v>
      </c>
      <c r="H166" s="5">
        <v>480</v>
      </c>
      <c r="I166" s="3" t="s">
        <v>1376</v>
      </c>
      <c r="J166" s="3" t="s">
        <v>1377</v>
      </c>
      <c r="K166" s="3" t="s">
        <v>492</v>
      </c>
      <c r="L166" s="3" t="s">
        <v>516</v>
      </c>
      <c r="M166" s="3" t="s">
        <v>494</v>
      </c>
      <c r="N166" s="3" t="s">
        <v>495</v>
      </c>
      <c r="O166" s="3" t="s">
        <v>285</v>
      </c>
      <c r="P166" s="3" t="s">
        <v>517</v>
      </c>
      <c r="Q166" s="6">
        <v>382</v>
      </c>
      <c r="R166" s="6">
        <v>183360</v>
      </c>
      <c r="S166" s="4">
        <v>44</v>
      </c>
      <c r="T166" s="3" t="s">
        <v>79</v>
      </c>
      <c r="U166" s="4">
        <v>32</v>
      </c>
      <c r="V166" s="3" t="e">
        <f>VLOOKUP(E166,'[1]Consolidated Stock'!$E:$V,18,0)</f>
        <v>#N/A</v>
      </c>
      <c r="W166" s="3" t="s">
        <v>541</v>
      </c>
    </row>
    <row r="167" spans="1:23" x14ac:dyDescent="0.3">
      <c r="A167" s="7" t="s">
        <v>281</v>
      </c>
      <c r="B167" s="8" t="s">
        <v>282</v>
      </c>
      <c r="C167" s="8" t="s">
        <v>515</v>
      </c>
      <c r="D167" s="8" t="s">
        <v>284</v>
      </c>
      <c r="E167" s="8">
        <v>2379</v>
      </c>
      <c r="F167" s="9">
        <v>47</v>
      </c>
      <c r="G167" s="10">
        <v>15</v>
      </c>
      <c r="H167" s="10">
        <v>705</v>
      </c>
      <c r="I167" s="8" t="s">
        <v>1376</v>
      </c>
      <c r="J167" s="8" t="s">
        <v>1377</v>
      </c>
      <c r="K167" s="8" t="s">
        <v>492</v>
      </c>
      <c r="L167" s="8" t="s">
        <v>516</v>
      </c>
      <c r="M167" s="8" t="s">
        <v>494</v>
      </c>
      <c r="N167" s="8" t="s">
        <v>495</v>
      </c>
      <c r="O167" s="8" t="s">
        <v>285</v>
      </c>
      <c r="P167" s="8" t="s">
        <v>517</v>
      </c>
      <c r="Q167" s="11">
        <v>382</v>
      </c>
      <c r="R167" s="11">
        <v>269310</v>
      </c>
      <c r="S167" s="9">
        <v>44</v>
      </c>
      <c r="T167" s="8" t="s">
        <v>79</v>
      </c>
      <c r="U167" s="9">
        <v>47</v>
      </c>
      <c r="V167" s="8" t="e">
        <f>VLOOKUP(E167,'[1]Consolidated Stock'!$E:$V,18,0)</f>
        <v>#N/A</v>
      </c>
      <c r="W167" s="8" t="s">
        <v>542</v>
      </c>
    </row>
    <row r="168" spans="1:23" x14ac:dyDescent="0.3">
      <c r="A168" s="2" t="s">
        <v>281</v>
      </c>
      <c r="B168" s="3" t="s">
        <v>282</v>
      </c>
      <c r="C168" s="3" t="s">
        <v>515</v>
      </c>
      <c r="D168" s="3" t="s">
        <v>284</v>
      </c>
      <c r="E168" s="3">
        <v>2380</v>
      </c>
      <c r="F168" s="4">
        <v>42</v>
      </c>
      <c r="G168" s="5">
        <v>15</v>
      </c>
      <c r="H168" s="5">
        <v>630</v>
      </c>
      <c r="I168" s="3" t="s">
        <v>1376</v>
      </c>
      <c r="J168" s="3" t="s">
        <v>1377</v>
      </c>
      <c r="K168" s="3" t="s">
        <v>492</v>
      </c>
      <c r="L168" s="3" t="s">
        <v>516</v>
      </c>
      <c r="M168" s="3" t="s">
        <v>494</v>
      </c>
      <c r="N168" s="3" t="s">
        <v>495</v>
      </c>
      <c r="O168" s="3" t="s">
        <v>285</v>
      </c>
      <c r="P168" s="3" t="s">
        <v>517</v>
      </c>
      <c r="Q168" s="6">
        <v>382</v>
      </c>
      <c r="R168" s="6">
        <v>240660</v>
      </c>
      <c r="S168" s="4">
        <v>44</v>
      </c>
      <c r="T168" s="3" t="s">
        <v>79</v>
      </c>
      <c r="U168" s="4">
        <v>42</v>
      </c>
      <c r="V168" s="3" t="e">
        <f>VLOOKUP(E168,'[1]Consolidated Stock'!$E:$V,18,0)</f>
        <v>#N/A</v>
      </c>
      <c r="W168" s="3" t="s">
        <v>543</v>
      </c>
    </row>
    <row r="169" spans="1:23" x14ac:dyDescent="0.3">
      <c r="A169" s="7" t="s">
        <v>281</v>
      </c>
      <c r="B169" s="8" t="s">
        <v>282</v>
      </c>
      <c r="C169" s="8" t="s">
        <v>515</v>
      </c>
      <c r="D169" s="8" t="s">
        <v>284</v>
      </c>
      <c r="E169" s="8">
        <v>2381</v>
      </c>
      <c r="F169" s="9">
        <v>59</v>
      </c>
      <c r="G169" s="10">
        <v>15</v>
      </c>
      <c r="H169" s="10">
        <v>885</v>
      </c>
      <c r="I169" s="8" t="s">
        <v>1376</v>
      </c>
      <c r="J169" s="8" t="s">
        <v>1377</v>
      </c>
      <c r="K169" s="8" t="s">
        <v>492</v>
      </c>
      <c r="L169" s="8" t="s">
        <v>516</v>
      </c>
      <c r="M169" s="8" t="s">
        <v>494</v>
      </c>
      <c r="N169" s="8" t="s">
        <v>495</v>
      </c>
      <c r="O169" s="8" t="s">
        <v>285</v>
      </c>
      <c r="P169" s="8" t="s">
        <v>517</v>
      </c>
      <c r="Q169" s="11">
        <v>382</v>
      </c>
      <c r="R169" s="11">
        <v>338070</v>
      </c>
      <c r="S169" s="9">
        <v>44</v>
      </c>
      <c r="T169" s="8" t="s">
        <v>79</v>
      </c>
      <c r="U169" s="9">
        <v>59</v>
      </c>
      <c r="V169" s="8" t="e">
        <f>VLOOKUP(E169,'[1]Consolidated Stock'!$E:$V,18,0)</f>
        <v>#N/A</v>
      </c>
      <c r="W169" s="8" t="s">
        <v>544</v>
      </c>
    </row>
    <row r="170" spans="1:23" x14ac:dyDescent="0.3">
      <c r="A170" s="2" t="s">
        <v>281</v>
      </c>
      <c r="B170" s="3" t="s">
        <v>282</v>
      </c>
      <c r="C170" s="3" t="s">
        <v>515</v>
      </c>
      <c r="D170" s="3" t="s">
        <v>284</v>
      </c>
      <c r="E170" s="3">
        <v>2382</v>
      </c>
      <c r="F170" s="4">
        <v>49</v>
      </c>
      <c r="G170" s="5">
        <v>15</v>
      </c>
      <c r="H170" s="5">
        <v>735</v>
      </c>
      <c r="I170" s="3" t="s">
        <v>1376</v>
      </c>
      <c r="J170" s="3" t="s">
        <v>1377</v>
      </c>
      <c r="K170" s="3" t="s">
        <v>492</v>
      </c>
      <c r="L170" s="3" t="s">
        <v>516</v>
      </c>
      <c r="M170" s="3" t="s">
        <v>494</v>
      </c>
      <c r="N170" s="3" t="s">
        <v>495</v>
      </c>
      <c r="O170" s="3" t="s">
        <v>285</v>
      </c>
      <c r="P170" s="3" t="s">
        <v>517</v>
      </c>
      <c r="Q170" s="6">
        <v>382</v>
      </c>
      <c r="R170" s="6">
        <v>280770</v>
      </c>
      <c r="S170" s="4">
        <v>44</v>
      </c>
      <c r="T170" s="3" t="s">
        <v>79</v>
      </c>
      <c r="U170" s="4">
        <v>49</v>
      </c>
      <c r="V170" s="3" t="e">
        <f>VLOOKUP(E170,'[1]Consolidated Stock'!$E:$V,18,0)</f>
        <v>#N/A</v>
      </c>
      <c r="W170" s="3" t="s">
        <v>545</v>
      </c>
    </row>
    <row r="171" spans="1:23" x14ac:dyDescent="0.3">
      <c r="A171" s="7" t="s">
        <v>546</v>
      </c>
      <c r="B171" s="8" t="s">
        <v>282</v>
      </c>
      <c r="C171" s="8" t="s">
        <v>547</v>
      </c>
      <c r="D171" s="8" t="s">
        <v>548</v>
      </c>
      <c r="E171" s="8">
        <v>2576</v>
      </c>
      <c r="F171" s="9">
        <v>650</v>
      </c>
      <c r="G171" s="10">
        <v>10</v>
      </c>
      <c r="H171" s="10">
        <v>6500</v>
      </c>
      <c r="I171" s="8" t="s">
        <v>1384</v>
      </c>
      <c r="J171" s="8" t="s">
        <v>1385</v>
      </c>
      <c r="K171" s="8" t="s">
        <v>549</v>
      </c>
      <c r="L171" s="8" t="s">
        <v>550</v>
      </c>
      <c r="M171" s="8" t="s">
        <v>551</v>
      </c>
      <c r="N171" s="8" t="s">
        <v>495</v>
      </c>
      <c r="O171" s="8" t="s">
        <v>285</v>
      </c>
      <c r="P171" s="8" t="s">
        <v>550</v>
      </c>
      <c r="Q171" s="11">
        <v>950</v>
      </c>
      <c r="R171" s="11">
        <v>6175000</v>
      </c>
      <c r="S171" s="9">
        <v>41</v>
      </c>
      <c r="T171" s="8" t="s">
        <v>79</v>
      </c>
      <c r="U171" s="9">
        <v>650</v>
      </c>
      <c r="V171" s="8" t="s">
        <v>552</v>
      </c>
      <c r="W171" s="8" t="s">
        <v>1425</v>
      </c>
    </row>
    <row r="172" spans="1:23" x14ac:dyDescent="0.3">
      <c r="A172" s="2" t="s">
        <v>546</v>
      </c>
      <c r="B172" s="3" t="s">
        <v>282</v>
      </c>
      <c r="C172" s="3" t="s">
        <v>547</v>
      </c>
      <c r="D172" s="3" t="s">
        <v>548</v>
      </c>
      <c r="E172" s="3">
        <v>2576</v>
      </c>
      <c r="F172" s="4">
        <v>654</v>
      </c>
      <c r="G172" s="5">
        <v>10</v>
      </c>
      <c r="H172" s="5">
        <v>6540</v>
      </c>
      <c r="I172" s="3" t="s">
        <v>1384</v>
      </c>
      <c r="J172" s="3" t="s">
        <v>1385</v>
      </c>
      <c r="K172" s="3" t="s">
        <v>549</v>
      </c>
      <c r="L172" s="3" t="s">
        <v>550</v>
      </c>
      <c r="M172" s="3" t="s">
        <v>551</v>
      </c>
      <c r="N172" s="3" t="s">
        <v>495</v>
      </c>
      <c r="O172" s="3" t="s">
        <v>285</v>
      </c>
      <c r="P172" s="3" t="s">
        <v>550</v>
      </c>
      <c r="Q172" s="6">
        <v>950</v>
      </c>
      <c r="R172" s="6">
        <v>6213000</v>
      </c>
      <c r="S172" s="4">
        <v>41</v>
      </c>
      <c r="T172" s="3" t="s">
        <v>79</v>
      </c>
      <c r="U172" s="4">
        <v>654</v>
      </c>
      <c r="V172" s="3" t="s">
        <v>553</v>
      </c>
      <c r="W172" s="3" t="s">
        <v>1423</v>
      </c>
    </row>
    <row r="173" spans="1:23" x14ac:dyDescent="0.3">
      <c r="A173" s="7" t="s">
        <v>546</v>
      </c>
      <c r="B173" s="8" t="s">
        <v>282</v>
      </c>
      <c r="C173" s="8" t="s">
        <v>547</v>
      </c>
      <c r="D173" s="8" t="s">
        <v>548</v>
      </c>
      <c r="E173" s="8">
        <v>2576</v>
      </c>
      <c r="F173" s="9">
        <v>360</v>
      </c>
      <c r="G173" s="10">
        <v>10</v>
      </c>
      <c r="H173" s="10">
        <v>3600</v>
      </c>
      <c r="I173" s="8" t="s">
        <v>1384</v>
      </c>
      <c r="J173" s="8" t="s">
        <v>1385</v>
      </c>
      <c r="K173" s="8" t="s">
        <v>549</v>
      </c>
      <c r="L173" s="8" t="s">
        <v>550</v>
      </c>
      <c r="M173" s="8" t="s">
        <v>551</v>
      </c>
      <c r="N173" s="8" t="s">
        <v>495</v>
      </c>
      <c r="O173" s="8" t="s">
        <v>285</v>
      </c>
      <c r="P173" s="8" t="s">
        <v>550</v>
      </c>
      <c r="Q173" s="11">
        <v>950</v>
      </c>
      <c r="R173" s="11">
        <v>3420000</v>
      </c>
      <c r="S173" s="9">
        <v>41</v>
      </c>
      <c r="T173" s="8" t="s">
        <v>79</v>
      </c>
      <c r="U173" s="9">
        <v>360</v>
      </c>
      <c r="V173" s="8" t="s">
        <v>554</v>
      </c>
      <c r="W173" s="8" t="s">
        <v>1424</v>
      </c>
    </row>
    <row r="174" spans="1:23" x14ac:dyDescent="0.3">
      <c r="A174" s="2" t="s">
        <v>555</v>
      </c>
      <c r="B174" s="3" t="s">
        <v>282</v>
      </c>
      <c r="C174" s="3" t="s">
        <v>556</v>
      </c>
      <c r="D174" s="3" t="s">
        <v>284</v>
      </c>
      <c r="E174" s="3">
        <v>2580</v>
      </c>
      <c r="F174" s="4">
        <v>716</v>
      </c>
      <c r="G174" s="5">
        <v>25</v>
      </c>
      <c r="H174" s="5">
        <v>17900</v>
      </c>
      <c r="I174" s="3" t="s">
        <v>1393</v>
      </c>
      <c r="J174" s="3" t="s">
        <v>557</v>
      </c>
      <c r="K174" s="3" t="s">
        <v>557</v>
      </c>
      <c r="L174" s="3" t="s">
        <v>558</v>
      </c>
      <c r="M174" s="3" t="s">
        <v>559</v>
      </c>
      <c r="N174" s="3" t="s">
        <v>495</v>
      </c>
      <c r="O174" s="3" t="s">
        <v>285</v>
      </c>
      <c r="P174" s="3" t="s">
        <v>28</v>
      </c>
      <c r="Q174" s="6">
        <v>368.57</v>
      </c>
      <c r="R174" s="6">
        <v>6597403</v>
      </c>
      <c r="S174" s="4">
        <v>40</v>
      </c>
      <c r="T174" s="3" t="s">
        <v>79</v>
      </c>
      <c r="U174" s="4">
        <v>716</v>
      </c>
      <c r="V174" s="3" t="e">
        <f>VLOOKUP(E174,'[1]Consolidated Stock'!$E:$V,18,0)</f>
        <v>#N/A</v>
      </c>
      <c r="W174" s="3" t="s">
        <v>560</v>
      </c>
    </row>
    <row r="175" spans="1:23" x14ac:dyDescent="0.3">
      <c r="A175" s="7" t="s">
        <v>546</v>
      </c>
      <c r="B175" s="8" t="s">
        <v>282</v>
      </c>
      <c r="C175" s="8" t="s">
        <v>547</v>
      </c>
      <c r="D175" s="8" t="s">
        <v>548</v>
      </c>
      <c r="E175" s="8">
        <v>2609</v>
      </c>
      <c r="F175" s="9">
        <v>32</v>
      </c>
      <c r="G175" s="10">
        <v>10</v>
      </c>
      <c r="H175" s="10">
        <v>320</v>
      </c>
      <c r="I175" s="8" t="s">
        <v>1384</v>
      </c>
      <c r="J175" s="8" t="s">
        <v>1385</v>
      </c>
      <c r="K175" s="8" t="s">
        <v>549</v>
      </c>
      <c r="L175" s="8" t="s">
        <v>550</v>
      </c>
      <c r="M175" s="8" t="s">
        <v>551</v>
      </c>
      <c r="N175" s="8" t="s">
        <v>495</v>
      </c>
      <c r="O175" s="8" t="s">
        <v>285</v>
      </c>
      <c r="P175" s="8" t="s">
        <v>550</v>
      </c>
      <c r="Q175" s="11">
        <v>950</v>
      </c>
      <c r="R175" s="11">
        <v>304000</v>
      </c>
      <c r="S175" s="9">
        <v>41</v>
      </c>
      <c r="T175" s="8" t="s">
        <v>79</v>
      </c>
      <c r="U175" s="9">
        <v>32</v>
      </c>
      <c r="V175" s="8" t="s">
        <v>561</v>
      </c>
      <c r="W175" s="8" t="s">
        <v>562</v>
      </c>
    </row>
    <row r="176" spans="1:23" x14ac:dyDescent="0.3">
      <c r="A176" s="2" t="s">
        <v>555</v>
      </c>
      <c r="B176" s="3" t="s">
        <v>282</v>
      </c>
      <c r="C176" s="3" t="s">
        <v>563</v>
      </c>
      <c r="D176" s="3" t="s">
        <v>564</v>
      </c>
      <c r="E176" s="3">
        <v>2685</v>
      </c>
      <c r="F176" s="4">
        <v>10</v>
      </c>
      <c r="G176" s="5">
        <v>10</v>
      </c>
      <c r="H176" s="5">
        <v>100</v>
      </c>
      <c r="I176" s="3" t="s">
        <v>1378</v>
      </c>
      <c r="J176" s="3" t="s">
        <v>567</v>
      </c>
      <c r="K176" s="3" t="s">
        <v>565</v>
      </c>
      <c r="L176" s="3" t="s">
        <v>566</v>
      </c>
      <c r="M176" s="3" t="s">
        <v>567</v>
      </c>
      <c r="N176" s="3" t="s">
        <v>495</v>
      </c>
      <c r="O176" s="3" t="s">
        <v>285</v>
      </c>
      <c r="P176" s="3" t="s">
        <v>28</v>
      </c>
      <c r="Q176" s="6">
        <v>1380</v>
      </c>
      <c r="R176" s="6">
        <v>138000</v>
      </c>
      <c r="S176" s="4">
        <v>40</v>
      </c>
      <c r="T176" s="3" t="s">
        <v>79</v>
      </c>
      <c r="U176" s="4">
        <v>10</v>
      </c>
      <c r="V176" s="3" t="s">
        <v>568</v>
      </c>
      <c r="W176" s="3" t="s">
        <v>569</v>
      </c>
    </row>
    <row r="177" spans="1:23" x14ac:dyDescent="0.3">
      <c r="A177" s="7" t="s">
        <v>555</v>
      </c>
      <c r="B177" s="8" t="s">
        <v>282</v>
      </c>
      <c r="C177" s="8" t="s">
        <v>570</v>
      </c>
      <c r="D177" s="8" t="s">
        <v>571</v>
      </c>
      <c r="E177" s="8">
        <v>2744</v>
      </c>
      <c r="F177" s="9">
        <v>1000</v>
      </c>
      <c r="G177" s="10">
        <v>11.34</v>
      </c>
      <c r="H177" s="10">
        <v>11340</v>
      </c>
      <c r="I177" s="8" t="s">
        <v>1381</v>
      </c>
      <c r="J177" s="8" t="s">
        <v>1389</v>
      </c>
      <c r="K177" s="8" t="s">
        <v>572</v>
      </c>
      <c r="L177" s="8" t="s">
        <v>573</v>
      </c>
      <c r="M177" s="8" t="s">
        <v>574</v>
      </c>
      <c r="N177" s="8" t="s">
        <v>495</v>
      </c>
      <c r="O177" s="8" t="s">
        <v>285</v>
      </c>
      <c r="P177" s="8" t="s">
        <v>575</v>
      </c>
      <c r="Q177" s="11">
        <v>395</v>
      </c>
      <c r="R177" s="11">
        <v>4479300</v>
      </c>
      <c r="S177" s="9">
        <v>40</v>
      </c>
      <c r="T177" s="8" t="s">
        <v>79</v>
      </c>
      <c r="U177" s="9">
        <v>1000</v>
      </c>
      <c r="V177" s="8" t="s">
        <v>1430</v>
      </c>
      <c r="W177" s="8" t="s">
        <v>1429</v>
      </c>
    </row>
    <row r="178" spans="1:23" x14ac:dyDescent="0.3">
      <c r="A178" s="2" t="s">
        <v>555</v>
      </c>
      <c r="B178" s="3" t="s">
        <v>282</v>
      </c>
      <c r="C178" s="3" t="s">
        <v>570</v>
      </c>
      <c r="D178" s="3" t="s">
        <v>571</v>
      </c>
      <c r="E178" s="3">
        <v>2744</v>
      </c>
      <c r="F178" s="4">
        <v>440</v>
      </c>
      <c r="G178" s="5">
        <v>11.34</v>
      </c>
      <c r="H178" s="5">
        <v>4989.6000000000004</v>
      </c>
      <c r="I178" s="3" t="s">
        <v>1381</v>
      </c>
      <c r="J178" s="3" t="s">
        <v>1389</v>
      </c>
      <c r="K178" s="3" t="s">
        <v>572</v>
      </c>
      <c r="L178" s="3" t="s">
        <v>573</v>
      </c>
      <c r="M178" s="3" t="s">
        <v>574</v>
      </c>
      <c r="N178" s="3" t="s">
        <v>495</v>
      </c>
      <c r="O178" s="3" t="s">
        <v>285</v>
      </c>
      <c r="P178" s="3" t="s">
        <v>575</v>
      </c>
      <c r="Q178" s="6">
        <v>395</v>
      </c>
      <c r="R178" s="6">
        <v>1970892</v>
      </c>
      <c r="S178" s="4">
        <v>40</v>
      </c>
      <c r="T178" s="3" t="s">
        <v>79</v>
      </c>
      <c r="U178" s="4">
        <v>440</v>
      </c>
      <c r="V178" s="3" t="s">
        <v>1431</v>
      </c>
      <c r="W178" s="3" t="s">
        <v>1429</v>
      </c>
    </row>
    <row r="179" spans="1:23" x14ac:dyDescent="0.3">
      <c r="A179" s="7" t="s">
        <v>287</v>
      </c>
      <c r="B179" s="8" t="s">
        <v>282</v>
      </c>
      <c r="C179" s="8" t="s">
        <v>576</v>
      </c>
      <c r="D179" s="8" t="s">
        <v>383</v>
      </c>
      <c r="E179" s="8">
        <v>3585</v>
      </c>
      <c r="F179" s="9">
        <v>84</v>
      </c>
      <c r="G179" s="10">
        <v>15</v>
      </c>
      <c r="H179" s="10">
        <v>1260</v>
      </c>
      <c r="I179" s="8" t="s">
        <v>1376</v>
      </c>
      <c r="J179" s="8" t="s">
        <v>1377</v>
      </c>
      <c r="K179" s="8" t="s">
        <v>492</v>
      </c>
      <c r="L179" s="8" t="s">
        <v>516</v>
      </c>
      <c r="M179" s="8" t="s">
        <v>494</v>
      </c>
      <c r="N179" s="8" t="s">
        <v>495</v>
      </c>
      <c r="O179" s="8" t="s">
        <v>285</v>
      </c>
      <c r="P179" s="8" t="s">
        <v>577</v>
      </c>
      <c r="Q179" s="11">
        <v>361</v>
      </c>
      <c r="R179" s="11">
        <v>454860</v>
      </c>
      <c r="S179" s="9">
        <v>32</v>
      </c>
      <c r="T179" s="8" t="s">
        <v>79</v>
      </c>
      <c r="U179" s="9">
        <v>84</v>
      </c>
      <c r="V179" s="8" t="s">
        <v>578</v>
      </c>
      <c r="W179" s="8" t="s">
        <v>1405</v>
      </c>
    </row>
    <row r="180" spans="1:23" x14ac:dyDescent="0.3">
      <c r="A180" s="2" t="s">
        <v>287</v>
      </c>
      <c r="B180" s="3" t="s">
        <v>282</v>
      </c>
      <c r="C180" s="3" t="s">
        <v>576</v>
      </c>
      <c r="D180" s="3" t="s">
        <v>383</v>
      </c>
      <c r="E180" s="3">
        <v>3585</v>
      </c>
      <c r="F180" s="4">
        <v>84</v>
      </c>
      <c r="G180" s="5">
        <v>15</v>
      </c>
      <c r="H180" s="5">
        <v>1260</v>
      </c>
      <c r="I180" s="3" t="s">
        <v>1376</v>
      </c>
      <c r="J180" s="3" t="s">
        <v>1377</v>
      </c>
      <c r="K180" s="3" t="s">
        <v>492</v>
      </c>
      <c r="L180" s="3" t="s">
        <v>516</v>
      </c>
      <c r="M180" s="3" t="s">
        <v>494</v>
      </c>
      <c r="N180" s="3" t="s">
        <v>495</v>
      </c>
      <c r="O180" s="3" t="s">
        <v>285</v>
      </c>
      <c r="P180" s="3" t="s">
        <v>577</v>
      </c>
      <c r="Q180" s="6">
        <v>361</v>
      </c>
      <c r="R180" s="6">
        <v>454860</v>
      </c>
      <c r="S180" s="4">
        <v>32</v>
      </c>
      <c r="T180" s="3" t="s">
        <v>79</v>
      </c>
      <c r="U180" s="4">
        <v>84</v>
      </c>
      <c r="V180" s="3" t="s">
        <v>578</v>
      </c>
      <c r="W180" s="3" t="s">
        <v>1406</v>
      </c>
    </row>
    <row r="181" spans="1:23" x14ac:dyDescent="0.3">
      <c r="A181" s="7" t="s">
        <v>287</v>
      </c>
      <c r="B181" s="8" t="s">
        <v>282</v>
      </c>
      <c r="C181" s="8" t="s">
        <v>576</v>
      </c>
      <c r="D181" s="8" t="s">
        <v>383</v>
      </c>
      <c r="E181" s="8">
        <v>3585</v>
      </c>
      <c r="F181" s="9">
        <v>93</v>
      </c>
      <c r="G181" s="10">
        <v>15</v>
      </c>
      <c r="H181" s="10">
        <v>1395</v>
      </c>
      <c r="I181" s="8" t="s">
        <v>1376</v>
      </c>
      <c r="J181" s="8" t="s">
        <v>1377</v>
      </c>
      <c r="K181" s="8" t="s">
        <v>492</v>
      </c>
      <c r="L181" s="8" t="s">
        <v>516</v>
      </c>
      <c r="M181" s="8" t="s">
        <v>494</v>
      </c>
      <c r="N181" s="8" t="s">
        <v>495</v>
      </c>
      <c r="O181" s="8" t="s">
        <v>285</v>
      </c>
      <c r="P181" s="8" t="s">
        <v>577</v>
      </c>
      <c r="Q181" s="11">
        <v>361</v>
      </c>
      <c r="R181" s="11">
        <v>503595</v>
      </c>
      <c r="S181" s="9">
        <v>32</v>
      </c>
      <c r="T181" s="8" t="s">
        <v>79</v>
      </c>
      <c r="U181" s="9">
        <v>93</v>
      </c>
      <c r="V181" s="8" t="s">
        <v>579</v>
      </c>
      <c r="W181" s="8" t="s">
        <v>1407</v>
      </c>
    </row>
    <row r="182" spans="1:23" x14ac:dyDescent="0.3">
      <c r="A182" s="2" t="s">
        <v>287</v>
      </c>
      <c r="B182" s="3" t="s">
        <v>282</v>
      </c>
      <c r="C182" s="3" t="s">
        <v>576</v>
      </c>
      <c r="D182" s="3" t="s">
        <v>383</v>
      </c>
      <c r="E182" s="3">
        <v>3585</v>
      </c>
      <c r="F182" s="4">
        <v>80</v>
      </c>
      <c r="G182" s="5">
        <v>15</v>
      </c>
      <c r="H182" s="5">
        <v>1200</v>
      </c>
      <c r="I182" s="3" t="s">
        <v>1376</v>
      </c>
      <c r="J182" s="3" t="s">
        <v>1377</v>
      </c>
      <c r="K182" s="3" t="s">
        <v>492</v>
      </c>
      <c r="L182" s="3" t="s">
        <v>516</v>
      </c>
      <c r="M182" s="3" t="s">
        <v>494</v>
      </c>
      <c r="N182" s="3" t="s">
        <v>495</v>
      </c>
      <c r="O182" s="3" t="s">
        <v>285</v>
      </c>
      <c r="P182" s="3" t="s">
        <v>577</v>
      </c>
      <c r="Q182" s="6">
        <v>361</v>
      </c>
      <c r="R182" s="6">
        <v>433200</v>
      </c>
      <c r="S182" s="4">
        <v>32</v>
      </c>
      <c r="T182" s="3" t="s">
        <v>79</v>
      </c>
      <c r="U182" s="4">
        <v>80</v>
      </c>
      <c r="V182" s="3" t="s">
        <v>580</v>
      </c>
      <c r="W182" s="3" t="s">
        <v>1408</v>
      </c>
    </row>
    <row r="183" spans="1:23" x14ac:dyDescent="0.3">
      <c r="A183" s="7" t="s">
        <v>287</v>
      </c>
      <c r="B183" s="8" t="s">
        <v>282</v>
      </c>
      <c r="C183" s="8" t="s">
        <v>576</v>
      </c>
      <c r="D183" s="8" t="s">
        <v>383</v>
      </c>
      <c r="E183" s="8">
        <v>3585</v>
      </c>
      <c r="F183" s="9">
        <v>48</v>
      </c>
      <c r="G183" s="10">
        <v>15</v>
      </c>
      <c r="H183" s="10">
        <v>720</v>
      </c>
      <c r="I183" s="8" t="s">
        <v>1376</v>
      </c>
      <c r="J183" s="8" t="s">
        <v>1377</v>
      </c>
      <c r="K183" s="8" t="s">
        <v>492</v>
      </c>
      <c r="L183" s="8" t="s">
        <v>516</v>
      </c>
      <c r="M183" s="8" t="s">
        <v>494</v>
      </c>
      <c r="N183" s="8" t="s">
        <v>495</v>
      </c>
      <c r="O183" s="8" t="s">
        <v>285</v>
      </c>
      <c r="P183" s="8" t="s">
        <v>577</v>
      </c>
      <c r="Q183" s="11">
        <v>361</v>
      </c>
      <c r="R183" s="11">
        <v>259920</v>
      </c>
      <c r="S183" s="9">
        <v>32</v>
      </c>
      <c r="T183" s="8" t="s">
        <v>79</v>
      </c>
      <c r="U183" s="9">
        <v>48</v>
      </c>
      <c r="V183" s="8" t="s">
        <v>581</v>
      </c>
      <c r="W183" s="8" t="s">
        <v>1409</v>
      </c>
    </row>
    <row r="184" spans="1:23" x14ac:dyDescent="0.3">
      <c r="A184" s="2" t="s">
        <v>287</v>
      </c>
      <c r="B184" s="3" t="s">
        <v>282</v>
      </c>
      <c r="C184" s="3" t="s">
        <v>576</v>
      </c>
      <c r="D184" s="3" t="s">
        <v>383</v>
      </c>
      <c r="E184" s="3">
        <v>3585</v>
      </c>
      <c r="F184" s="4">
        <v>66</v>
      </c>
      <c r="G184" s="5">
        <v>15</v>
      </c>
      <c r="H184" s="5">
        <v>990</v>
      </c>
      <c r="I184" s="3" t="s">
        <v>1376</v>
      </c>
      <c r="J184" s="3" t="s">
        <v>1377</v>
      </c>
      <c r="K184" s="3" t="s">
        <v>492</v>
      </c>
      <c r="L184" s="3" t="s">
        <v>516</v>
      </c>
      <c r="M184" s="3" t="s">
        <v>494</v>
      </c>
      <c r="N184" s="3" t="s">
        <v>495</v>
      </c>
      <c r="O184" s="3" t="s">
        <v>285</v>
      </c>
      <c r="P184" s="3" t="s">
        <v>577</v>
      </c>
      <c r="Q184" s="6">
        <v>361</v>
      </c>
      <c r="R184" s="6">
        <v>357390</v>
      </c>
      <c r="S184" s="4">
        <v>32</v>
      </c>
      <c r="T184" s="3" t="s">
        <v>79</v>
      </c>
      <c r="U184" s="4">
        <v>66</v>
      </c>
      <c r="V184" s="3" t="s">
        <v>582</v>
      </c>
      <c r="W184" s="3" t="s">
        <v>1410</v>
      </c>
    </row>
    <row r="185" spans="1:23" x14ac:dyDescent="0.3">
      <c r="A185" s="7" t="s">
        <v>287</v>
      </c>
      <c r="B185" s="8" t="s">
        <v>282</v>
      </c>
      <c r="C185" s="8" t="s">
        <v>576</v>
      </c>
      <c r="D185" s="8" t="s">
        <v>383</v>
      </c>
      <c r="E185" s="8">
        <v>3585</v>
      </c>
      <c r="F185" s="9">
        <v>90</v>
      </c>
      <c r="G185" s="10">
        <v>15</v>
      </c>
      <c r="H185" s="10">
        <v>1350</v>
      </c>
      <c r="I185" s="8" t="s">
        <v>1376</v>
      </c>
      <c r="J185" s="8" t="s">
        <v>1377</v>
      </c>
      <c r="K185" s="8" t="s">
        <v>492</v>
      </c>
      <c r="L185" s="8" t="s">
        <v>516</v>
      </c>
      <c r="M185" s="8" t="s">
        <v>494</v>
      </c>
      <c r="N185" s="8" t="s">
        <v>495</v>
      </c>
      <c r="O185" s="8" t="s">
        <v>285</v>
      </c>
      <c r="P185" s="8" t="s">
        <v>577</v>
      </c>
      <c r="Q185" s="11">
        <v>361</v>
      </c>
      <c r="R185" s="11">
        <v>487350</v>
      </c>
      <c r="S185" s="9">
        <v>32</v>
      </c>
      <c r="T185" s="8" t="s">
        <v>79</v>
      </c>
      <c r="U185" s="9">
        <v>90</v>
      </c>
      <c r="V185" s="8" t="s">
        <v>583</v>
      </c>
      <c r="W185" s="8" t="s">
        <v>1411</v>
      </c>
    </row>
    <row r="186" spans="1:23" x14ac:dyDescent="0.3">
      <c r="A186" s="2" t="s">
        <v>287</v>
      </c>
      <c r="B186" s="3" t="s">
        <v>282</v>
      </c>
      <c r="C186" s="3" t="s">
        <v>576</v>
      </c>
      <c r="D186" s="3" t="s">
        <v>383</v>
      </c>
      <c r="E186" s="3">
        <v>3585</v>
      </c>
      <c r="F186" s="4">
        <v>54</v>
      </c>
      <c r="G186" s="5">
        <v>15</v>
      </c>
      <c r="H186" s="5">
        <v>810</v>
      </c>
      <c r="I186" s="3" t="s">
        <v>1376</v>
      </c>
      <c r="J186" s="3" t="s">
        <v>1377</v>
      </c>
      <c r="K186" s="3" t="s">
        <v>492</v>
      </c>
      <c r="L186" s="3" t="s">
        <v>516</v>
      </c>
      <c r="M186" s="3" t="s">
        <v>494</v>
      </c>
      <c r="N186" s="3" t="s">
        <v>495</v>
      </c>
      <c r="O186" s="3" t="s">
        <v>285</v>
      </c>
      <c r="P186" s="3" t="s">
        <v>577</v>
      </c>
      <c r="Q186" s="6">
        <v>361</v>
      </c>
      <c r="R186" s="6">
        <v>292410</v>
      </c>
      <c r="S186" s="4">
        <v>32</v>
      </c>
      <c r="T186" s="3" t="s">
        <v>79</v>
      </c>
      <c r="U186" s="4">
        <v>54</v>
      </c>
      <c r="V186" s="3" t="s">
        <v>584</v>
      </c>
      <c r="W186" s="3" t="s">
        <v>1412</v>
      </c>
    </row>
    <row r="187" spans="1:23" x14ac:dyDescent="0.3">
      <c r="A187" s="7" t="s">
        <v>585</v>
      </c>
      <c r="B187" s="8" t="s">
        <v>282</v>
      </c>
      <c r="C187" s="8" t="s">
        <v>586</v>
      </c>
      <c r="D187" s="8" t="s">
        <v>284</v>
      </c>
      <c r="E187" s="8">
        <v>3623</v>
      </c>
      <c r="F187" s="9">
        <v>10</v>
      </c>
      <c r="G187" s="10">
        <v>5</v>
      </c>
      <c r="H187" s="10">
        <v>50</v>
      </c>
      <c r="I187" s="8" t="s">
        <v>1366</v>
      </c>
      <c r="J187" s="8" t="s">
        <v>587</v>
      </c>
      <c r="K187" s="8" t="s">
        <v>587</v>
      </c>
      <c r="L187" s="8" t="s">
        <v>587</v>
      </c>
      <c r="M187" s="8" t="s">
        <v>588</v>
      </c>
      <c r="N187" s="8" t="s">
        <v>495</v>
      </c>
      <c r="O187" s="8" t="s">
        <v>285</v>
      </c>
      <c r="P187" s="8" t="s">
        <v>372</v>
      </c>
      <c r="Q187" s="11">
        <v>303</v>
      </c>
      <c r="R187" s="11">
        <v>15150</v>
      </c>
      <c r="S187" s="9">
        <v>34</v>
      </c>
      <c r="T187" s="8" t="s">
        <v>79</v>
      </c>
      <c r="U187" s="9">
        <v>10</v>
      </c>
      <c r="V187" s="8" t="e">
        <f>VLOOKUP(E187,'[1]Consolidated Stock'!$E:$V,18,0)</f>
        <v>#N/A</v>
      </c>
      <c r="W187" s="8" t="s">
        <v>589</v>
      </c>
    </row>
    <row r="188" spans="1:23" x14ac:dyDescent="0.3">
      <c r="A188" s="2" t="s">
        <v>585</v>
      </c>
      <c r="B188" s="3" t="s">
        <v>282</v>
      </c>
      <c r="C188" s="3" t="s">
        <v>590</v>
      </c>
      <c r="D188" s="3" t="s">
        <v>284</v>
      </c>
      <c r="E188" s="3">
        <v>3624</v>
      </c>
      <c r="F188" s="4">
        <v>1</v>
      </c>
      <c r="G188" s="5">
        <v>15</v>
      </c>
      <c r="H188" s="5">
        <v>15</v>
      </c>
      <c r="I188" s="3" t="s">
        <v>1376</v>
      </c>
      <c r="J188" s="3" t="s">
        <v>1377</v>
      </c>
      <c r="K188" s="3" t="s">
        <v>492</v>
      </c>
      <c r="L188" s="3" t="s">
        <v>516</v>
      </c>
      <c r="M188" s="3" t="s">
        <v>494</v>
      </c>
      <c r="N188" s="3" t="s">
        <v>495</v>
      </c>
      <c r="O188" s="3" t="s">
        <v>285</v>
      </c>
      <c r="P188" s="3" t="s">
        <v>517</v>
      </c>
      <c r="Q188" s="6">
        <v>382</v>
      </c>
      <c r="R188" s="6">
        <v>5730</v>
      </c>
      <c r="S188" s="4">
        <v>34</v>
      </c>
      <c r="T188" s="3" t="s">
        <v>79</v>
      </c>
      <c r="U188" s="4">
        <v>1</v>
      </c>
      <c r="V188" s="3" t="e">
        <f>VLOOKUP(E188,'[1]Consolidated Stock'!$E:$V,18,0)</f>
        <v>#N/A</v>
      </c>
      <c r="W188" s="3" t="s">
        <v>591</v>
      </c>
    </row>
    <row r="189" spans="1:23" x14ac:dyDescent="0.3">
      <c r="A189" s="7" t="s">
        <v>585</v>
      </c>
      <c r="B189" s="8" t="s">
        <v>282</v>
      </c>
      <c r="C189" s="8" t="s">
        <v>590</v>
      </c>
      <c r="D189" s="8" t="s">
        <v>284</v>
      </c>
      <c r="E189" s="8">
        <v>3625</v>
      </c>
      <c r="F189" s="9">
        <v>1</v>
      </c>
      <c r="G189" s="10">
        <v>15</v>
      </c>
      <c r="H189" s="10">
        <v>15</v>
      </c>
      <c r="I189" s="8" t="s">
        <v>1376</v>
      </c>
      <c r="J189" s="8" t="s">
        <v>1377</v>
      </c>
      <c r="K189" s="8" t="s">
        <v>492</v>
      </c>
      <c r="L189" s="8" t="s">
        <v>516</v>
      </c>
      <c r="M189" s="8" t="s">
        <v>494</v>
      </c>
      <c r="N189" s="8" t="s">
        <v>495</v>
      </c>
      <c r="O189" s="8" t="s">
        <v>285</v>
      </c>
      <c r="P189" s="8" t="s">
        <v>517</v>
      </c>
      <c r="Q189" s="11">
        <v>382</v>
      </c>
      <c r="R189" s="11">
        <v>5730</v>
      </c>
      <c r="S189" s="9">
        <v>34</v>
      </c>
      <c r="T189" s="8" t="s">
        <v>79</v>
      </c>
      <c r="U189" s="9">
        <v>1</v>
      </c>
      <c r="V189" s="8" t="e">
        <f>VLOOKUP(E189,'[1]Consolidated Stock'!$E:$V,18,0)</f>
        <v>#N/A</v>
      </c>
      <c r="W189" s="8" t="s">
        <v>592</v>
      </c>
    </row>
    <row r="190" spans="1:23" x14ac:dyDescent="0.3">
      <c r="A190" s="2" t="s">
        <v>585</v>
      </c>
      <c r="B190" s="3" t="s">
        <v>282</v>
      </c>
      <c r="C190" s="3" t="s">
        <v>590</v>
      </c>
      <c r="D190" s="3" t="s">
        <v>284</v>
      </c>
      <c r="E190" s="3">
        <v>3626</v>
      </c>
      <c r="F190" s="4">
        <v>1</v>
      </c>
      <c r="G190" s="5">
        <v>15</v>
      </c>
      <c r="H190" s="5">
        <v>15</v>
      </c>
      <c r="I190" s="3" t="s">
        <v>1376</v>
      </c>
      <c r="J190" s="3" t="s">
        <v>1377</v>
      </c>
      <c r="K190" s="3" t="s">
        <v>492</v>
      </c>
      <c r="L190" s="3" t="s">
        <v>516</v>
      </c>
      <c r="M190" s="3" t="s">
        <v>494</v>
      </c>
      <c r="N190" s="3" t="s">
        <v>495</v>
      </c>
      <c r="O190" s="3" t="s">
        <v>285</v>
      </c>
      <c r="P190" s="3" t="s">
        <v>517</v>
      </c>
      <c r="Q190" s="6">
        <v>382</v>
      </c>
      <c r="R190" s="6">
        <v>5730</v>
      </c>
      <c r="S190" s="4">
        <v>34</v>
      </c>
      <c r="T190" s="3" t="s">
        <v>79</v>
      </c>
      <c r="U190" s="4">
        <v>1</v>
      </c>
      <c r="V190" s="3" t="e">
        <f>VLOOKUP(E190,'[1]Consolidated Stock'!$E:$V,18,0)</f>
        <v>#N/A</v>
      </c>
      <c r="W190" s="3" t="s">
        <v>593</v>
      </c>
    </row>
    <row r="191" spans="1:23" x14ac:dyDescent="0.3">
      <c r="A191" s="7" t="s">
        <v>585</v>
      </c>
      <c r="B191" s="8" t="s">
        <v>282</v>
      </c>
      <c r="C191" s="8" t="s">
        <v>590</v>
      </c>
      <c r="D191" s="8" t="s">
        <v>284</v>
      </c>
      <c r="E191" s="8">
        <v>3627</v>
      </c>
      <c r="F191" s="9">
        <v>1</v>
      </c>
      <c r="G191" s="10">
        <v>15</v>
      </c>
      <c r="H191" s="10">
        <v>15</v>
      </c>
      <c r="I191" s="8" t="s">
        <v>1376</v>
      </c>
      <c r="J191" s="8" t="s">
        <v>1377</v>
      </c>
      <c r="K191" s="8" t="s">
        <v>492</v>
      </c>
      <c r="L191" s="8" t="s">
        <v>516</v>
      </c>
      <c r="M191" s="8" t="s">
        <v>494</v>
      </c>
      <c r="N191" s="8" t="s">
        <v>495</v>
      </c>
      <c r="O191" s="8" t="s">
        <v>285</v>
      </c>
      <c r="P191" s="8" t="s">
        <v>517</v>
      </c>
      <c r="Q191" s="11">
        <v>382</v>
      </c>
      <c r="R191" s="11">
        <v>5730</v>
      </c>
      <c r="S191" s="9">
        <v>34</v>
      </c>
      <c r="T191" s="8" t="s">
        <v>79</v>
      </c>
      <c r="U191" s="9">
        <v>1</v>
      </c>
      <c r="V191" s="8" t="e">
        <f>VLOOKUP(E191,'[1]Consolidated Stock'!$E:$V,18,0)</f>
        <v>#N/A</v>
      </c>
      <c r="W191" s="8" t="s">
        <v>594</v>
      </c>
    </row>
    <row r="192" spans="1:23" x14ac:dyDescent="0.3">
      <c r="A192" s="2" t="s">
        <v>585</v>
      </c>
      <c r="B192" s="3" t="s">
        <v>282</v>
      </c>
      <c r="C192" s="3" t="s">
        <v>590</v>
      </c>
      <c r="D192" s="3" t="s">
        <v>284</v>
      </c>
      <c r="E192" s="3">
        <v>3628</v>
      </c>
      <c r="F192" s="4">
        <v>1</v>
      </c>
      <c r="G192" s="5">
        <v>15</v>
      </c>
      <c r="H192" s="5">
        <v>15</v>
      </c>
      <c r="I192" s="3" t="s">
        <v>1376</v>
      </c>
      <c r="J192" s="3" t="s">
        <v>1377</v>
      </c>
      <c r="K192" s="3" t="s">
        <v>492</v>
      </c>
      <c r="L192" s="3" t="s">
        <v>516</v>
      </c>
      <c r="M192" s="3" t="s">
        <v>494</v>
      </c>
      <c r="N192" s="3" t="s">
        <v>495</v>
      </c>
      <c r="O192" s="3" t="s">
        <v>285</v>
      </c>
      <c r="P192" s="3" t="s">
        <v>517</v>
      </c>
      <c r="Q192" s="6">
        <v>382</v>
      </c>
      <c r="R192" s="6">
        <v>5730</v>
      </c>
      <c r="S192" s="4">
        <v>34</v>
      </c>
      <c r="T192" s="3" t="s">
        <v>79</v>
      </c>
      <c r="U192" s="4">
        <v>1</v>
      </c>
      <c r="V192" s="3" t="e">
        <f>VLOOKUP(E192,'[1]Consolidated Stock'!$E:$V,18,0)</f>
        <v>#N/A</v>
      </c>
      <c r="W192" s="3" t="s">
        <v>595</v>
      </c>
    </row>
    <row r="193" spans="1:37" x14ac:dyDescent="0.3">
      <c r="A193" s="7" t="s">
        <v>585</v>
      </c>
      <c r="B193" s="8" t="s">
        <v>282</v>
      </c>
      <c r="C193" s="8" t="s">
        <v>590</v>
      </c>
      <c r="D193" s="8" t="s">
        <v>284</v>
      </c>
      <c r="E193" s="8">
        <v>3629</v>
      </c>
      <c r="F193" s="9">
        <v>1</v>
      </c>
      <c r="G193" s="10">
        <v>15</v>
      </c>
      <c r="H193" s="10">
        <v>15</v>
      </c>
      <c r="I193" s="8" t="s">
        <v>1376</v>
      </c>
      <c r="J193" s="8" t="s">
        <v>1377</v>
      </c>
      <c r="K193" s="8" t="s">
        <v>492</v>
      </c>
      <c r="L193" s="8" t="s">
        <v>516</v>
      </c>
      <c r="M193" s="8" t="s">
        <v>494</v>
      </c>
      <c r="N193" s="8" t="s">
        <v>495</v>
      </c>
      <c r="O193" s="8" t="s">
        <v>285</v>
      </c>
      <c r="P193" s="8" t="s">
        <v>517</v>
      </c>
      <c r="Q193" s="11">
        <v>382</v>
      </c>
      <c r="R193" s="11">
        <v>5730</v>
      </c>
      <c r="S193" s="9">
        <v>34</v>
      </c>
      <c r="T193" s="8" t="s">
        <v>79</v>
      </c>
      <c r="U193" s="9">
        <v>1</v>
      </c>
      <c r="V193" s="8" t="e">
        <f>VLOOKUP(E193,'[1]Consolidated Stock'!$E:$V,18,0)</f>
        <v>#N/A</v>
      </c>
      <c r="W193" s="8" t="s">
        <v>596</v>
      </c>
    </row>
    <row r="194" spans="1:37" x14ac:dyDescent="0.3">
      <c r="A194" s="2" t="s">
        <v>585</v>
      </c>
      <c r="B194" s="3" t="s">
        <v>282</v>
      </c>
      <c r="C194" s="3" t="s">
        <v>590</v>
      </c>
      <c r="D194" s="3" t="s">
        <v>284</v>
      </c>
      <c r="E194" s="3">
        <v>3630</v>
      </c>
      <c r="F194" s="4">
        <v>1</v>
      </c>
      <c r="G194" s="5">
        <v>15</v>
      </c>
      <c r="H194" s="5">
        <v>15</v>
      </c>
      <c r="I194" s="3" t="s">
        <v>1376</v>
      </c>
      <c r="J194" s="3" t="s">
        <v>1377</v>
      </c>
      <c r="K194" s="3" t="s">
        <v>492</v>
      </c>
      <c r="L194" s="3" t="s">
        <v>516</v>
      </c>
      <c r="M194" s="3" t="s">
        <v>494</v>
      </c>
      <c r="N194" s="3" t="s">
        <v>495</v>
      </c>
      <c r="O194" s="3" t="s">
        <v>285</v>
      </c>
      <c r="P194" s="3" t="s">
        <v>517</v>
      </c>
      <c r="Q194" s="6">
        <v>382</v>
      </c>
      <c r="R194" s="6">
        <v>5730</v>
      </c>
      <c r="S194" s="4">
        <v>34</v>
      </c>
      <c r="T194" s="3" t="s">
        <v>79</v>
      </c>
      <c r="U194" s="4">
        <v>1</v>
      </c>
      <c r="V194" s="3" t="e">
        <f>VLOOKUP(E194,'[1]Consolidated Stock'!$E:$V,18,0)</f>
        <v>#N/A</v>
      </c>
      <c r="W194" s="3" t="s">
        <v>597</v>
      </c>
    </row>
    <row r="195" spans="1:37" x14ac:dyDescent="0.3">
      <c r="A195" s="7" t="s">
        <v>585</v>
      </c>
      <c r="B195" s="8" t="s">
        <v>282</v>
      </c>
      <c r="C195" s="8" t="s">
        <v>590</v>
      </c>
      <c r="D195" s="8" t="s">
        <v>284</v>
      </c>
      <c r="E195" s="8">
        <v>3631</v>
      </c>
      <c r="F195" s="9">
        <v>1</v>
      </c>
      <c r="G195" s="10">
        <v>15</v>
      </c>
      <c r="H195" s="10">
        <v>15</v>
      </c>
      <c r="I195" s="8" t="s">
        <v>1376</v>
      </c>
      <c r="J195" s="8" t="s">
        <v>1377</v>
      </c>
      <c r="K195" s="8" t="s">
        <v>492</v>
      </c>
      <c r="L195" s="8" t="s">
        <v>516</v>
      </c>
      <c r="M195" s="8" t="s">
        <v>494</v>
      </c>
      <c r="N195" s="8" t="s">
        <v>495</v>
      </c>
      <c r="O195" s="8" t="s">
        <v>285</v>
      </c>
      <c r="P195" s="8" t="s">
        <v>517</v>
      </c>
      <c r="Q195" s="11">
        <v>382</v>
      </c>
      <c r="R195" s="11">
        <v>5730</v>
      </c>
      <c r="S195" s="9">
        <v>34</v>
      </c>
      <c r="T195" s="8" t="s">
        <v>79</v>
      </c>
      <c r="U195" s="9">
        <v>1</v>
      </c>
      <c r="V195" s="8" t="e">
        <f>VLOOKUP(E195,'[1]Consolidated Stock'!$E:$V,18,0)</f>
        <v>#N/A</v>
      </c>
      <c r="W195" s="8" t="s">
        <v>598</v>
      </c>
    </row>
    <row r="196" spans="1:37" x14ac:dyDescent="0.3">
      <c r="A196" s="2" t="s">
        <v>585</v>
      </c>
      <c r="B196" s="3" t="s">
        <v>282</v>
      </c>
      <c r="C196" s="3" t="s">
        <v>590</v>
      </c>
      <c r="D196" s="3" t="s">
        <v>284</v>
      </c>
      <c r="E196" s="3">
        <v>3632</v>
      </c>
      <c r="F196" s="4">
        <v>1</v>
      </c>
      <c r="G196" s="5">
        <v>15</v>
      </c>
      <c r="H196" s="5">
        <v>15</v>
      </c>
      <c r="I196" s="3" t="s">
        <v>1376</v>
      </c>
      <c r="J196" s="3" t="s">
        <v>1377</v>
      </c>
      <c r="K196" s="3" t="s">
        <v>492</v>
      </c>
      <c r="L196" s="3" t="s">
        <v>516</v>
      </c>
      <c r="M196" s="3" t="s">
        <v>494</v>
      </c>
      <c r="N196" s="3" t="s">
        <v>495</v>
      </c>
      <c r="O196" s="3" t="s">
        <v>285</v>
      </c>
      <c r="P196" s="3" t="s">
        <v>517</v>
      </c>
      <c r="Q196" s="6">
        <v>382</v>
      </c>
      <c r="R196" s="6">
        <v>5730</v>
      </c>
      <c r="S196" s="4">
        <v>34</v>
      </c>
      <c r="T196" s="3" t="s">
        <v>79</v>
      </c>
      <c r="U196" s="4">
        <v>1</v>
      </c>
      <c r="V196" s="3" t="e">
        <f>VLOOKUP(E196,'[1]Consolidated Stock'!$E:$V,18,0)</f>
        <v>#N/A</v>
      </c>
      <c r="W196" s="3" t="s">
        <v>599</v>
      </c>
    </row>
    <row r="197" spans="1:37" x14ac:dyDescent="0.3">
      <c r="A197" s="7" t="s">
        <v>585</v>
      </c>
      <c r="B197" s="8" t="s">
        <v>282</v>
      </c>
      <c r="C197" s="8" t="s">
        <v>590</v>
      </c>
      <c r="D197" s="8" t="s">
        <v>284</v>
      </c>
      <c r="E197" s="8">
        <v>3633</v>
      </c>
      <c r="F197" s="9">
        <v>1</v>
      </c>
      <c r="G197" s="10">
        <v>15</v>
      </c>
      <c r="H197" s="10">
        <v>15</v>
      </c>
      <c r="I197" s="8" t="s">
        <v>1376</v>
      </c>
      <c r="J197" s="8" t="s">
        <v>1377</v>
      </c>
      <c r="K197" s="8" t="s">
        <v>492</v>
      </c>
      <c r="L197" s="8" t="s">
        <v>516</v>
      </c>
      <c r="M197" s="8" t="s">
        <v>494</v>
      </c>
      <c r="N197" s="8" t="s">
        <v>495</v>
      </c>
      <c r="O197" s="8" t="s">
        <v>285</v>
      </c>
      <c r="P197" s="8" t="s">
        <v>517</v>
      </c>
      <c r="Q197" s="11">
        <v>382</v>
      </c>
      <c r="R197" s="11">
        <v>5730</v>
      </c>
      <c r="S197" s="9">
        <v>34</v>
      </c>
      <c r="T197" s="8" t="s">
        <v>79</v>
      </c>
      <c r="U197" s="9">
        <v>1</v>
      </c>
      <c r="V197" s="8" t="e">
        <f>VLOOKUP(E197,'[1]Consolidated Stock'!$E:$V,18,0)</f>
        <v>#N/A</v>
      </c>
      <c r="W197" s="8" t="s">
        <v>600</v>
      </c>
    </row>
    <row r="198" spans="1:37" x14ac:dyDescent="0.3">
      <c r="A198" s="2" t="s">
        <v>585</v>
      </c>
      <c r="B198" s="3" t="s">
        <v>282</v>
      </c>
      <c r="C198" s="3" t="s">
        <v>590</v>
      </c>
      <c r="D198" s="3" t="s">
        <v>284</v>
      </c>
      <c r="E198" s="3">
        <v>3634</v>
      </c>
      <c r="F198" s="4">
        <v>1</v>
      </c>
      <c r="G198" s="5">
        <v>15</v>
      </c>
      <c r="H198" s="5">
        <v>15</v>
      </c>
      <c r="I198" s="3" t="s">
        <v>1376</v>
      </c>
      <c r="J198" s="3" t="s">
        <v>1377</v>
      </c>
      <c r="K198" s="3" t="s">
        <v>492</v>
      </c>
      <c r="L198" s="3" t="s">
        <v>516</v>
      </c>
      <c r="M198" s="3" t="s">
        <v>494</v>
      </c>
      <c r="N198" s="3" t="s">
        <v>495</v>
      </c>
      <c r="O198" s="3" t="s">
        <v>285</v>
      </c>
      <c r="P198" s="3" t="s">
        <v>517</v>
      </c>
      <c r="Q198" s="6">
        <v>382</v>
      </c>
      <c r="R198" s="6">
        <v>5730</v>
      </c>
      <c r="S198" s="4">
        <v>34</v>
      </c>
      <c r="T198" s="3" t="s">
        <v>79</v>
      </c>
      <c r="U198" s="4">
        <v>1</v>
      </c>
      <c r="V198" s="3" t="e">
        <f>VLOOKUP(E198,'[1]Consolidated Stock'!$E:$V,18,0)</f>
        <v>#N/A</v>
      </c>
      <c r="W198" s="3" t="s">
        <v>601</v>
      </c>
    </row>
    <row r="199" spans="1:37" x14ac:dyDescent="0.3">
      <c r="A199" s="7" t="s">
        <v>585</v>
      </c>
      <c r="B199" s="8" t="s">
        <v>282</v>
      </c>
      <c r="C199" s="8" t="s">
        <v>590</v>
      </c>
      <c r="D199" s="8" t="s">
        <v>284</v>
      </c>
      <c r="E199" s="8">
        <v>3635</v>
      </c>
      <c r="F199" s="9">
        <v>1</v>
      </c>
      <c r="G199" s="10">
        <v>15</v>
      </c>
      <c r="H199" s="10">
        <v>15</v>
      </c>
      <c r="I199" s="8" t="s">
        <v>1376</v>
      </c>
      <c r="J199" s="8" t="s">
        <v>1377</v>
      </c>
      <c r="K199" s="8" t="s">
        <v>492</v>
      </c>
      <c r="L199" s="8" t="s">
        <v>516</v>
      </c>
      <c r="M199" s="8" t="s">
        <v>494</v>
      </c>
      <c r="N199" s="8" t="s">
        <v>495</v>
      </c>
      <c r="O199" s="8" t="s">
        <v>285</v>
      </c>
      <c r="P199" s="8" t="s">
        <v>517</v>
      </c>
      <c r="Q199" s="11">
        <v>382</v>
      </c>
      <c r="R199" s="11">
        <v>5730</v>
      </c>
      <c r="S199" s="9">
        <v>34</v>
      </c>
      <c r="T199" s="8" t="s">
        <v>79</v>
      </c>
      <c r="U199" s="9">
        <v>1</v>
      </c>
      <c r="V199" s="8" t="e">
        <f>VLOOKUP(E199,'[1]Consolidated Stock'!$E:$V,18,0)</f>
        <v>#N/A</v>
      </c>
      <c r="W199" s="8" t="s">
        <v>602</v>
      </c>
    </row>
    <row r="200" spans="1:37" x14ac:dyDescent="0.3">
      <c r="A200" s="2" t="s">
        <v>585</v>
      </c>
      <c r="B200" s="3" t="s">
        <v>282</v>
      </c>
      <c r="C200" s="3" t="s">
        <v>590</v>
      </c>
      <c r="D200" s="3" t="s">
        <v>284</v>
      </c>
      <c r="E200" s="3">
        <v>3636</v>
      </c>
      <c r="F200" s="4">
        <v>1</v>
      </c>
      <c r="G200" s="5">
        <v>15</v>
      </c>
      <c r="H200" s="5">
        <v>15</v>
      </c>
      <c r="I200" s="3" t="s">
        <v>1376</v>
      </c>
      <c r="J200" s="3" t="s">
        <v>1377</v>
      </c>
      <c r="K200" s="3" t="s">
        <v>492</v>
      </c>
      <c r="L200" s="3" t="s">
        <v>516</v>
      </c>
      <c r="M200" s="3" t="s">
        <v>494</v>
      </c>
      <c r="N200" s="3" t="s">
        <v>495</v>
      </c>
      <c r="O200" s="3" t="s">
        <v>285</v>
      </c>
      <c r="P200" s="3" t="s">
        <v>517</v>
      </c>
      <c r="Q200" s="6">
        <v>382</v>
      </c>
      <c r="R200" s="6">
        <v>5730</v>
      </c>
      <c r="S200" s="4">
        <v>34</v>
      </c>
      <c r="T200" s="3" t="s">
        <v>79</v>
      </c>
      <c r="U200" s="4">
        <v>1</v>
      </c>
      <c r="V200" s="3" t="e">
        <f>VLOOKUP(E200,'[1]Consolidated Stock'!$E:$V,18,0)</f>
        <v>#N/A</v>
      </c>
      <c r="W200" s="3" t="s">
        <v>603</v>
      </c>
    </row>
    <row r="201" spans="1:37" x14ac:dyDescent="0.3">
      <c r="A201" s="7" t="s">
        <v>585</v>
      </c>
      <c r="B201" s="8" t="s">
        <v>282</v>
      </c>
      <c r="C201" s="8" t="s">
        <v>590</v>
      </c>
      <c r="D201" s="8" t="s">
        <v>284</v>
      </c>
      <c r="E201" s="8">
        <v>3637</v>
      </c>
      <c r="F201" s="9">
        <v>1</v>
      </c>
      <c r="G201" s="10">
        <v>15</v>
      </c>
      <c r="H201" s="10">
        <v>15</v>
      </c>
      <c r="I201" s="8" t="s">
        <v>1376</v>
      </c>
      <c r="J201" s="8" t="s">
        <v>1377</v>
      </c>
      <c r="K201" s="8" t="s">
        <v>492</v>
      </c>
      <c r="L201" s="8" t="s">
        <v>516</v>
      </c>
      <c r="M201" s="8" t="s">
        <v>494</v>
      </c>
      <c r="N201" s="8" t="s">
        <v>495</v>
      </c>
      <c r="O201" s="8" t="s">
        <v>285</v>
      </c>
      <c r="P201" s="8" t="s">
        <v>517</v>
      </c>
      <c r="Q201" s="11">
        <v>382</v>
      </c>
      <c r="R201" s="11">
        <v>5730</v>
      </c>
      <c r="S201" s="9">
        <v>34</v>
      </c>
      <c r="T201" s="8" t="s">
        <v>79</v>
      </c>
      <c r="U201" s="9">
        <v>1</v>
      </c>
      <c r="V201" s="8" t="e">
        <f>VLOOKUP(E201,'[1]Consolidated Stock'!$E:$V,18,0)</f>
        <v>#N/A</v>
      </c>
      <c r="W201" s="8" t="s">
        <v>604</v>
      </c>
    </row>
    <row r="202" spans="1:37" x14ac:dyDescent="0.3">
      <c r="A202" s="2" t="s">
        <v>585</v>
      </c>
      <c r="B202" s="3" t="s">
        <v>282</v>
      </c>
      <c r="C202" s="3" t="s">
        <v>590</v>
      </c>
      <c r="D202" s="3" t="s">
        <v>284</v>
      </c>
      <c r="E202" s="3">
        <v>3638</v>
      </c>
      <c r="F202" s="4">
        <v>1</v>
      </c>
      <c r="G202" s="5">
        <v>15</v>
      </c>
      <c r="H202" s="5">
        <v>15</v>
      </c>
      <c r="I202" s="3" t="s">
        <v>1376</v>
      </c>
      <c r="J202" s="3" t="s">
        <v>1377</v>
      </c>
      <c r="K202" s="3" t="s">
        <v>492</v>
      </c>
      <c r="L202" s="3" t="s">
        <v>516</v>
      </c>
      <c r="M202" s="3" t="s">
        <v>494</v>
      </c>
      <c r="N202" s="3" t="s">
        <v>495</v>
      </c>
      <c r="O202" s="3" t="s">
        <v>285</v>
      </c>
      <c r="P202" s="3" t="s">
        <v>517</v>
      </c>
      <c r="Q202" s="6">
        <v>382</v>
      </c>
      <c r="R202" s="6">
        <v>5730</v>
      </c>
      <c r="S202" s="4">
        <v>34</v>
      </c>
      <c r="T202" s="3" t="s">
        <v>79</v>
      </c>
      <c r="U202" s="4">
        <v>1</v>
      </c>
      <c r="V202" s="3" t="e">
        <f>VLOOKUP(E202,'[1]Consolidated Stock'!$E:$V,18,0)</f>
        <v>#N/A</v>
      </c>
      <c r="W202" s="3" t="s">
        <v>605</v>
      </c>
    </row>
    <row r="203" spans="1:37" x14ac:dyDescent="0.3">
      <c r="A203" s="7" t="s">
        <v>585</v>
      </c>
      <c r="B203" s="8" t="s">
        <v>282</v>
      </c>
      <c r="C203" s="8" t="s">
        <v>590</v>
      </c>
      <c r="D203" s="8" t="s">
        <v>284</v>
      </c>
      <c r="E203" s="8">
        <v>3639</v>
      </c>
      <c r="F203" s="9">
        <v>1</v>
      </c>
      <c r="G203" s="10">
        <v>15</v>
      </c>
      <c r="H203" s="10">
        <v>15</v>
      </c>
      <c r="I203" s="8" t="s">
        <v>1376</v>
      </c>
      <c r="J203" s="8" t="s">
        <v>1377</v>
      </c>
      <c r="K203" s="8" t="s">
        <v>492</v>
      </c>
      <c r="L203" s="8" t="s">
        <v>516</v>
      </c>
      <c r="M203" s="8" t="s">
        <v>494</v>
      </c>
      <c r="N203" s="8" t="s">
        <v>495</v>
      </c>
      <c r="O203" s="8" t="s">
        <v>285</v>
      </c>
      <c r="P203" s="8" t="s">
        <v>517</v>
      </c>
      <c r="Q203" s="11">
        <v>382</v>
      </c>
      <c r="R203" s="11">
        <v>5730</v>
      </c>
      <c r="S203" s="9">
        <v>34</v>
      </c>
      <c r="T203" s="8" t="s">
        <v>79</v>
      </c>
      <c r="U203" s="9">
        <v>1</v>
      </c>
      <c r="V203" s="8" t="e">
        <f>VLOOKUP(E203,'[1]Consolidated Stock'!$E:$V,18,0)</f>
        <v>#N/A</v>
      </c>
      <c r="W203" s="8" t="s">
        <v>606</v>
      </c>
    </row>
    <row r="204" spans="1:37" x14ac:dyDescent="0.3">
      <c r="A204" s="2" t="s">
        <v>585</v>
      </c>
      <c r="B204" s="3" t="s">
        <v>282</v>
      </c>
      <c r="C204" s="3" t="s">
        <v>590</v>
      </c>
      <c r="D204" s="3" t="s">
        <v>284</v>
      </c>
      <c r="E204" s="3">
        <v>3640</v>
      </c>
      <c r="F204" s="4">
        <v>1</v>
      </c>
      <c r="G204" s="5">
        <v>15</v>
      </c>
      <c r="H204" s="5">
        <v>15</v>
      </c>
      <c r="I204" s="3" t="s">
        <v>1376</v>
      </c>
      <c r="J204" s="3" t="s">
        <v>1377</v>
      </c>
      <c r="K204" s="3" t="s">
        <v>492</v>
      </c>
      <c r="L204" s="3" t="s">
        <v>516</v>
      </c>
      <c r="M204" s="3" t="s">
        <v>494</v>
      </c>
      <c r="N204" s="3" t="s">
        <v>495</v>
      </c>
      <c r="O204" s="3" t="s">
        <v>285</v>
      </c>
      <c r="P204" s="3" t="s">
        <v>517</v>
      </c>
      <c r="Q204" s="6">
        <v>382</v>
      </c>
      <c r="R204" s="6">
        <v>5730</v>
      </c>
      <c r="S204" s="4">
        <v>34</v>
      </c>
      <c r="T204" s="3" t="s">
        <v>79</v>
      </c>
      <c r="U204" s="4">
        <v>1</v>
      </c>
      <c r="V204" s="3" t="e">
        <f>VLOOKUP(E204,'[1]Consolidated Stock'!$E:$V,18,0)</f>
        <v>#N/A</v>
      </c>
      <c r="W204" s="3" t="s">
        <v>607</v>
      </c>
      <c r="AK204" s="25">
        <v>1263</v>
      </c>
    </row>
    <row r="205" spans="1:37" x14ac:dyDescent="0.3">
      <c r="A205" s="7" t="s">
        <v>585</v>
      </c>
      <c r="B205" s="8" t="s">
        <v>282</v>
      </c>
      <c r="C205" s="8" t="s">
        <v>590</v>
      </c>
      <c r="D205" s="8" t="s">
        <v>284</v>
      </c>
      <c r="E205" s="8">
        <v>3641</v>
      </c>
      <c r="F205" s="9">
        <v>1</v>
      </c>
      <c r="G205" s="10">
        <v>15</v>
      </c>
      <c r="H205" s="10">
        <v>15</v>
      </c>
      <c r="I205" s="8" t="s">
        <v>1376</v>
      </c>
      <c r="J205" s="8" t="s">
        <v>1377</v>
      </c>
      <c r="K205" s="8" t="s">
        <v>492</v>
      </c>
      <c r="L205" s="8" t="s">
        <v>516</v>
      </c>
      <c r="M205" s="8" t="s">
        <v>494</v>
      </c>
      <c r="N205" s="8" t="s">
        <v>495</v>
      </c>
      <c r="O205" s="8" t="s">
        <v>285</v>
      </c>
      <c r="P205" s="8" t="s">
        <v>517</v>
      </c>
      <c r="Q205" s="11">
        <v>382</v>
      </c>
      <c r="R205" s="11">
        <v>5730</v>
      </c>
      <c r="S205" s="9">
        <v>34</v>
      </c>
      <c r="T205" s="8" t="s">
        <v>79</v>
      </c>
      <c r="U205" s="9">
        <v>1</v>
      </c>
      <c r="V205" s="8" t="e">
        <f>VLOOKUP(E205,'[1]Consolidated Stock'!$E:$V,18,0)</f>
        <v>#N/A</v>
      </c>
      <c r="W205" s="8" t="s">
        <v>608</v>
      </c>
    </row>
    <row r="206" spans="1:37" x14ac:dyDescent="0.3">
      <c r="A206" s="2" t="s">
        <v>585</v>
      </c>
      <c r="B206" s="3" t="s">
        <v>282</v>
      </c>
      <c r="C206" s="3" t="s">
        <v>590</v>
      </c>
      <c r="D206" s="3" t="s">
        <v>284</v>
      </c>
      <c r="E206" s="3">
        <v>3642</v>
      </c>
      <c r="F206" s="4">
        <v>1</v>
      </c>
      <c r="G206" s="5">
        <v>15</v>
      </c>
      <c r="H206" s="5">
        <v>15</v>
      </c>
      <c r="I206" s="3" t="s">
        <v>1376</v>
      </c>
      <c r="J206" s="3" t="s">
        <v>1377</v>
      </c>
      <c r="K206" s="3" t="s">
        <v>492</v>
      </c>
      <c r="L206" s="3" t="s">
        <v>516</v>
      </c>
      <c r="M206" s="3" t="s">
        <v>494</v>
      </c>
      <c r="N206" s="3" t="s">
        <v>495</v>
      </c>
      <c r="O206" s="3" t="s">
        <v>285</v>
      </c>
      <c r="P206" s="3" t="s">
        <v>517</v>
      </c>
      <c r="Q206" s="6">
        <v>382</v>
      </c>
      <c r="R206" s="6">
        <v>5730</v>
      </c>
      <c r="S206" s="4">
        <v>34</v>
      </c>
      <c r="T206" s="3" t="s">
        <v>79</v>
      </c>
      <c r="U206" s="4">
        <v>1</v>
      </c>
      <c r="V206" s="3" t="e">
        <f>VLOOKUP(E206,'[1]Consolidated Stock'!$E:$V,18,0)</f>
        <v>#N/A</v>
      </c>
      <c r="W206" s="3" t="s">
        <v>609</v>
      </c>
    </row>
    <row r="207" spans="1:37" x14ac:dyDescent="0.3">
      <c r="A207" s="7" t="s">
        <v>585</v>
      </c>
      <c r="B207" s="8" t="s">
        <v>282</v>
      </c>
      <c r="C207" s="8" t="s">
        <v>590</v>
      </c>
      <c r="D207" s="8" t="s">
        <v>284</v>
      </c>
      <c r="E207" s="8">
        <v>3643</v>
      </c>
      <c r="F207" s="9">
        <v>1</v>
      </c>
      <c r="G207" s="10">
        <v>15</v>
      </c>
      <c r="H207" s="10">
        <v>15</v>
      </c>
      <c r="I207" s="8" t="s">
        <v>1376</v>
      </c>
      <c r="J207" s="8" t="s">
        <v>1377</v>
      </c>
      <c r="K207" s="8" t="s">
        <v>492</v>
      </c>
      <c r="L207" s="8" t="s">
        <v>516</v>
      </c>
      <c r="M207" s="8" t="s">
        <v>494</v>
      </c>
      <c r="N207" s="8" t="s">
        <v>495</v>
      </c>
      <c r="O207" s="8" t="s">
        <v>285</v>
      </c>
      <c r="P207" s="8" t="s">
        <v>517</v>
      </c>
      <c r="Q207" s="11">
        <v>382</v>
      </c>
      <c r="R207" s="11">
        <v>5730</v>
      </c>
      <c r="S207" s="9">
        <v>34</v>
      </c>
      <c r="T207" s="8" t="s">
        <v>79</v>
      </c>
      <c r="U207" s="9">
        <v>1</v>
      </c>
      <c r="V207" s="8" t="e">
        <f>VLOOKUP(E207,'[1]Consolidated Stock'!$E:$V,18,0)</f>
        <v>#N/A</v>
      </c>
      <c r="W207" s="8" t="s">
        <v>610</v>
      </c>
    </row>
    <row r="208" spans="1:37" x14ac:dyDescent="0.3">
      <c r="A208" s="2" t="s">
        <v>611</v>
      </c>
      <c r="B208" s="3" t="s">
        <v>282</v>
      </c>
      <c r="C208" s="3" t="s">
        <v>612</v>
      </c>
      <c r="D208" s="3" t="s">
        <v>613</v>
      </c>
      <c r="E208" s="3">
        <v>5025</v>
      </c>
      <c r="F208" s="4">
        <v>36</v>
      </c>
      <c r="G208" s="5">
        <v>30</v>
      </c>
      <c r="H208" s="5">
        <v>1080</v>
      </c>
      <c r="I208" s="3" t="s">
        <v>1394</v>
      </c>
      <c r="J208" s="3" t="s">
        <v>1395</v>
      </c>
      <c r="K208" s="3" t="s">
        <v>614</v>
      </c>
      <c r="L208" s="3" t="s">
        <v>615</v>
      </c>
      <c r="M208" s="3" t="s">
        <v>616</v>
      </c>
      <c r="N208" s="3" t="s">
        <v>495</v>
      </c>
      <c r="O208" s="3" t="s">
        <v>285</v>
      </c>
      <c r="P208" s="3">
        <v>0</v>
      </c>
      <c r="Q208" s="6">
        <v>745</v>
      </c>
      <c r="R208" s="6">
        <v>804600</v>
      </c>
      <c r="S208" s="4">
        <v>22</v>
      </c>
      <c r="T208" s="3" t="s">
        <v>79</v>
      </c>
      <c r="U208" s="4">
        <v>36</v>
      </c>
      <c r="V208" s="3" t="s">
        <v>617</v>
      </c>
      <c r="W208" s="3" t="s">
        <v>618</v>
      </c>
    </row>
    <row r="209" spans="1:23" x14ac:dyDescent="0.3">
      <c r="A209" s="7" t="s">
        <v>611</v>
      </c>
      <c r="B209" s="8" t="s">
        <v>282</v>
      </c>
      <c r="C209" s="8" t="s">
        <v>612</v>
      </c>
      <c r="D209" s="8" t="s">
        <v>619</v>
      </c>
      <c r="E209" s="8">
        <v>5026</v>
      </c>
      <c r="F209" s="9">
        <v>13</v>
      </c>
      <c r="G209" s="10">
        <v>30</v>
      </c>
      <c r="H209" s="10">
        <v>390</v>
      </c>
      <c r="I209" s="8" t="s">
        <v>1394</v>
      </c>
      <c r="J209" s="8" t="s">
        <v>1395</v>
      </c>
      <c r="K209" s="8" t="s">
        <v>620</v>
      </c>
      <c r="L209" s="8" t="s">
        <v>615</v>
      </c>
      <c r="M209" s="8" t="s">
        <v>621</v>
      </c>
      <c r="N209" s="8" t="s">
        <v>495</v>
      </c>
      <c r="O209" s="8" t="s">
        <v>285</v>
      </c>
      <c r="P209" s="8">
        <v>0</v>
      </c>
      <c r="Q209" s="11">
        <v>820</v>
      </c>
      <c r="R209" s="11">
        <v>319800</v>
      </c>
      <c r="S209" s="9">
        <v>22</v>
      </c>
      <c r="T209" s="8" t="s">
        <v>79</v>
      </c>
      <c r="U209" s="9">
        <v>13</v>
      </c>
      <c r="V209" s="8" t="s">
        <v>622</v>
      </c>
      <c r="W209" s="8" t="s">
        <v>623</v>
      </c>
    </row>
    <row r="210" spans="1:23" x14ac:dyDescent="0.3">
      <c r="A210" s="2" t="s">
        <v>624</v>
      </c>
      <c r="B210" s="3" t="s">
        <v>282</v>
      </c>
      <c r="C210" s="3" t="s">
        <v>625</v>
      </c>
      <c r="D210" s="3">
        <f>-Y192</f>
        <v>0</v>
      </c>
      <c r="E210" s="3">
        <v>5396</v>
      </c>
      <c r="F210" s="4">
        <v>1263</v>
      </c>
      <c r="G210" s="5">
        <v>11.34</v>
      </c>
      <c r="H210" s="5">
        <f>G210*F210</f>
        <v>14322.42</v>
      </c>
      <c r="I210" s="3" t="s">
        <v>1384</v>
      </c>
      <c r="J210" s="3" t="s">
        <v>1385</v>
      </c>
      <c r="K210" s="3" t="s">
        <v>626</v>
      </c>
      <c r="L210" s="3" t="s">
        <v>627</v>
      </c>
      <c r="M210" s="3" t="s">
        <v>551</v>
      </c>
      <c r="N210" s="3" t="s">
        <v>495</v>
      </c>
      <c r="O210" s="3" t="s">
        <v>285</v>
      </c>
      <c r="P210" s="3" t="s">
        <v>628</v>
      </c>
      <c r="Q210" s="6">
        <v>1045</v>
      </c>
      <c r="R210" s="6">
        <v>1042826.4</v>
      </c>
      <c r="S210" s="4">
        <v>19</v>
      </c>
      <c r="T210" s="3" t="s">
        <v>79</v>
      </c>
      <c r="U210" s="4">
        <v>1263</v>
      </c>
      <c r="V210" s="3" t="s">
        <v>1345</v>
      </c>
      <c r="W210" s="3" t="s">
        <v>1346</v>
      </c>
    </row>
    <row r="211" spans="1:23" x14ac:dyDescent="0.3">
      <c r="A211" s="2" t="s">
        <v>624</v>
      </c>
      <c r="B211" s="3" t="s">
        <v>282</v>
      </c>
      <c r="C211" s="3" t="s">
        <v>629</v>
      </c>
      <c r="D211" s="3" t="s">
        <v>630</v>
      </c>
      <c r="E211" s="3">
        <v>5397</v>
      </c>
      <c r="F211" s="4">
        <v>52</v>
      </c>
      <c r="G211" s="5">
        <v>15</v>
      </c>
      <c r="H211" s="5">
        <v>780</v>
      </c>
      <c r="I211" s="3" t="s">
        <v>1376</v>
      </c>
      <c r="J211" s="3" t="s">
        <v>1377</v>
      </c>
      <c r="K211" s="3" t="s">
        <v>492</v>
      </c>
      <c r="L211" s="3" t="s">
        <v>516</v>
      </c>
      <c r="M211" s="3" t="s">
        <v>494</v>
      </c>
      <c r="N211" s="3" t="s">
        <v>495</v>
      </c>
      <c r="O211" s="3" t="s">
        <v>285</v>
      </c>
      <c r="P211" s="3" t="s">
        <v>517</v>
      </c>
      <c r="Q211" s="6">
        <v>364</v>
      </c>
      <c r="R211" s="6">
        <v>283920</v>
      </c>
      <c r="S211" s="4">
        <v>19</v>
      </c>
      <c r="T211" s="3" t="s">
        <v>79</v>
      </c>
      <c r="U211" s="4">
        <v>52</v>
      </c>
      <c r="V211" s="3" t="s">
        <v>631</v>
      </c>
      <c r="W211" s="3" t="s">
        <v>632</v>
      </c>
    </row>
    <row r="212" spans="1:23" x14ac:dyDescent="0.3">
      <c r="A212" s="7" t="s">
        <v>624</v>
      </c>
      <c r="B212" s="8" t="s">
        <v>282</v>
      </c>
      <c r="C212" s="8" t="s">
        <v>629</v>
      </c>
      <c r="D212" s="8" t="s">
        <v>633</v>
      </c>
      <c r="E212" s="8">
        <v>5398</v>
      </c>
      <c r="F212" s="9">
        <v>29</v>
      </c>
      <c r="G212" s="10">
        <v>15</v>
      </c>
      <c r="H212" s="10">
        <v>435</v>
      </c>
      <c r="I212" s="8" t="s">
        <v>1376</v>
      </c>
      <c r="J212" s="8" t="s">
        <v>1377</v>
      </c>
      <c r="K212" s="8" t="s">
        <v>492</v>
      </c>
      <c r="L212" s="8" t="s">
        <v>516</v>
      </c>
      <c r="M212" s="8" t="s">
        <v>494</v>
      </c>
      <c r="N212" s="8" t="s">
        <v>495</v>
      </c>
      <c r="O212" s="8" t="s">
        <v>285</v>
      </c>
      <c r="P212" s="8" t="s">
        <v>517</v>
      </c>
      <c r="Q212" s="11">
        <v>364</v>
      </c>
      <c r="R212" s="11">
        <v>158340</v>
      </c>
      <c r="S212" s="9">
        <v>19</v>
      </c>
      <c r="T212" s="8" t="s">
        <v>79</v>
      </c>
      <c r="U212" s="9">
        <v>29</v>
      </c>
      <c r="V212" s="8" t="s">
        <v>634</v>
      </c>
      <c r="W212" s="8" t="s">
        <v>635</v>
      </c>
    </row>
    <row r="213" spans="1:23" x14ac:dyDescent="0.3">
      <c r="A213" s="2" t="s">
        <v>624</v>
      </c>
      <c r="B213" s="3" t="s">
        <v>282</v>
      </c>
      <c r="C213" s="3" t="s">
        <v>629</v>
      </c>
      <c r="D213" s="3" t="s">
        <v>636</v>
      </c>
      <c r="E213" s="3">
        <v>5399</v>
      </c>
      <c r="F213" s="4">
        <v>69</v>
      </c>
      <c r="G213" s="5">
        <v>15</v>
      </c>
      <c r="H213" s="5">
        <v>1035</v>
      </c>
      <c r="I213" s="3" t="s">
        <v>1376</v>
      </c>
      <c r="J213" s="3" t="s">
        <v>1377</v>
      </c>
      <c r="K213" s="3" t="s">
        <v>492</v>
      </c>
      <c r="L213" s="3" t="s">
        <v>516</v>
      </c>
      <c r="M213" s="3" t="s">
        <v>494</v>
      </c>
      <c r="N213" s="3" t="s">
        <v>495</v>
      </c>
      <c r="O213" s="3" t="s">
        <v>285</v>
      </c>
      <c r="P213" s="3" t="s">
        <v>517</v>
      </c>
      <c r="Q213" s="6">
        <v>364</v>
      </c>
      <c r="R213" s="6">
        <v>376740</v>
      </c>
      <c r="S213" s="4">
        <v>19</v>
      </c>
      <c r="T213" s="3" t="s">
        <v>79</v>
      </c>
      <c r="U213" s="4">
        <v>69</v>
      </c>
      <c r="V213" s="3" t="s">
        <v>637</v>
      </c>
      <c r="W213" s="3" t="s">
        <v>638</v>
      </c>
    </row>
    <row r="214" spans="1:23" x14ac:dyDescent="0.3">
      <c r="A214" s="7" t="s">
        <v>624</v>
      </c>
      <c r="B214" s="8" t="s">
        <v>282</v>
      </c>
      <c r="C214" s="8" t="s">
        <v>629</v>
      </c>
      <c r="D214" s="8" t="s">
        <v>639</v>
      </c>
      <c r="E214" s="8">
        <v>5400</v>
      </c>
      <c r="F214" s="9">
        <v>44</v>
      </c>
      <c r="G214" s="10">
        <v>15</v>
      </c>
      <c r="H214" s="10">
        <v>660</v>
      </c>
      <c r="I214" s="8" t="s">
        <v>1376</v>
      </c>
      <c r="J214" s="8" t="s">
        <v>1377</v>
      </c>
      <c r="K214" s="8" t="s">
        <v>492</v>
      </c>
      <c r="L214" s="8" t="s">
        <v>516</v>
      </c>
      <c r="M214" s="8" t="s">
        <v>494</v>
      </c>
      <c r="N214" s="8" t="s">
        <v>495</v>
      </c>
      <c r="O214" s="8" t="s">
        <v>285</v>
      </c>
      <c r="P214" s="8" t="s">
        <v>517</v>
      </c>
      <c r="Q214" s="11">
        <v>364</v>
      </c>
      <c r="R214" s="11">
        <v>240240</v>
      </c>
      <c r="S214" s="9">
        <v>19</v>
      </c>
      <c r="T214" s="8" t="s">
        <v>79</v>
      </c>
      <c r="U214" s="9">
        <v>44</v>
      </c>
      <c r="V214" s="8" t="s">
        <v>640</v>
      </c>
      <c r="W214" s="8" t="s">
        <v>641</v>
      </c>
    </row>
    <row r="215" spans="1:23" x14ac:dyDescent="0.3">
      <c r="A215" s="2" t="s">
        <v>624</v>
      </c>
      <c r="B215" s="3" t="s">
        <v>282</v>
      </c>
      <c r="C215" s="3" t="s">
        <v>629</v>
      </c>
      <c r="D215" s="3" t="s">
        <v>642</v>
      </c>
      <c r="E215" s="3">
        <v>5401</v>
      </c>
      <c r="F215" s="4">
        <v>132</v>
      </c>
      <c r="G215" s="5">
        <v>15</v>
      </c>
      <c r="H215" s="5">
        <v>1980</v>
      </c>
      <c r="I215" s="3" t="s">
        <v>1376</v>
      </c>
      <c r="J215" s="3" t="s">
        <v>1377</v>
      </c>
      <c r="K215" s="3" t="s">
        <v>492</v>
      </c>
      <c r="L215" s="3" t="s">
        <v>516</v>
      </c>
      <c r="M215" s="3" t="s">
        <v>494</v>
      </c>
      <c r="N215" s="3" t="s">
        <v>495</v>
      </c>
      <c r="O215" s="3" t="s">
        <v>285</v>
      </c>
      <c r="P215" s="3" t="s">
        <v>517</v>
      </c>
      <c r="Q215" s="6">
        <v>364</v>
      </c>
      <c r="R215" s="6">
        <v>720720</v>
      </c>
      <c r="S215" s="4">
        <v>19</v>
      </c>
      <c r="T215" s="3" t="s">
        <v>79</v>
      </c>
      <c r="U215" s="4">
        <v>132</v>
      </c>
      <c r="V215" s="3" t="s">
        <v>643</v>
      </c>
      <c r="W215" s="3" t="s">
        <v>644</v>
      </c>
    </row>
    <row r="216" spans="1:23" x14ac:dyDescent="0.3">
      <c r="A216" s="7" t="s">
        <v>624</v>
      </c>
      <c r="B216" s="8" t="s">
        <v>282</v>
      </c>
      <c r="C216" s="8" t="s">
        <v>629</v>
      </c>
      <c r="D216" s="8" t="s">
        <v>645</v>
      </c>
      <c r="E216" s="8">
        <v>5402</v>
      </c>
      <c r="F216" s="9">
        <v>66</v>
      </c>
      <c r="G216" s="10">
        <v>15</v>
      </c>
      <c r="H216" s="10">
        <v>990</v>
      </c>
      <c r="I216" s="8" t="s">
        <v>1376</v>
      </c>
      <c r="J216" s="8" t="s">
        <v>1377</v>
      </c>
      <c r="K216" s="8" t="s">
        <v>492</v>
      </c>
      <c r="L216" s="8" t="s">
        <v>516</v>
      </c>
      <c r="M216" s="8" t="s">
        <v>494</v>
      </c>
      <c r="N216" s="8" t="s">
        <v>495</v>
      </c>
      <c r="O216" s="8" t="s">
        <v>285</v>
      </c>
      <c r="P216" s="8" t="s">
        <v>517</v>
      </c>
      <c r="Q216" s="11">
        <v>364</v>
      </c>
      <c r="R216" s="11">
        <v>360360</v>
      </c>
      <c r="S216" s="9">
        <v>19</v>
      </c>
      <c r="T216" s="8" t="s">
        <v>79</v>
      </c>
      <c r="U216" s="9">
        <v>66</v>
      </c>
      <c r="V216" s="8" t="s">
        <v>646</v>
      </c>
      <c r="W216" s="8" t="s">
        <v>647</v>
      </c>
    </row>
    <row r="217" spans="1:23" x14ac:dyDescent="0.3">
      <c r="A217" s="2" t="s">
        <v>624</v>
      </c>
      <c r="B217" s="3" t="s">
        <v>282</v>
      </c>
      <c r="C217" s="3" t="s">
        <v>629</v>
      </c>
      <c r="D217" s="3" t="s">
        <v>648</v>
      </c>
      <c r="E217" s="3">
        <v>5403</v>
      </c>
      <c r="F217" s="4">
        <v>25</v>
      </c>
      <c r="G217" s="5">
        <v>15</v>
      </c>
      <c r="H217" s="5">
        <v>375</v>
      </c>
      <c r="I217" s="3" t="s">
        <v>1376</v>
      </c>
      <c r="J217" s="3" t="s">
        <v>1377</v>
      </c>
      <c r="K217" s="3" t="s">
        <v>492</v>
      </c>
      <c r="L217" s="3" t="s">
        <v>516</v>
      </c>
      <c r="M217" s="3" t="s">
        <v>494</v>
      </c>
      <c r="N217" s="3" t="s">
        <v>495</v>
      </c>
      <c r="O217" s="3" t="s">
        <v>285</v>
      </c>
      <c r="P217" s="3" t="s">
        <v>517</v>
      </c>
      <c r="Q217" s="6">
        <v>364</v>
      </c>
      <c r="R217" s="6">
        <v>136500</v>
      </c>
      <c r="S217" s="4">
        <v>19</v>
      </c>
      <c r="T217" s="3" t="s">
        <v>79</v>
      </c>
      <c r="U217" s="4">
        <v>25</v>
      </c>
      <c r="V217" s="3" t="s">
        <v>649</v>
      </c>
      <c r="W217" s="3" t="s">
        <v>650</v>
      </c>
    </row>
    <row r="218" spans="1:23" x14ac:dyDescent="0.3">
      <c r="A218" s="7" t="s">
        <v>624</v>
      </c>
      <c r="B218" s="8" t="s">
        <v>282</v>
      </c>
      <c r="C218" s="8" t="s">
        <v>629</v>
      </c>
      <c r="D218" s="8" t="s">
        <v>651</v>
      </c>
      <c r="E218" s="8">
        <v>5404</v>
      </c>
      <c r="F218" s="9">
        <v>24</v>
      </c>
      <c r="G218" s="10">
        <v>15</v>
      </c>
      <c r="H218" s="10">
        <v>360</v>
      </c>
      <c r="I218" s="8" t="s">
        <v>1376</v>
      </c>
      <c r="J218" s="8" t="s">
        <v>1377</v>
      </c>
      <c r="K218" s="8" t="s">
        <v>492</v>
      </c>
      <c r="L218" s="8" t="s">
        <v>516</v>
      </c>
      <c r="M218" s="8" t="s">
        <v>494</v>
      </c>
      <c r="N218" s="8" t="s">
        <v>495</v>
      </c>
      <c r="O218" s="8" t="s">
        <v>285</v>
      </c>
      <c r="P218" s="8" t="s">
        <v>517</v>
      </c>
      <c r="Q218" s="11">
        <v>364</v>
      </c>
      <c r="R218" s="11">
        <v>131040</v>
      </c>
      <c r="S218" s="9">
        <v>19</v>
      </c>
      <c r="T218" s="8" t="s">
        <v>79</v>
      </c>
      <c r="U218" s="9">
        <v>24</v>
      </c>
      <c r="V218" s="8" t="s">
        <v>652</v>
      </c>
      <c r="W218" s="8" t="s">
        <v>653</v>
      </c>
    </row>
    <row r="219" spans="1:23" x14ac:dyDescent="0.3">
      <c r="A219" s="2" t="s">
        <v>624</v>
      </c>
      <c r="B219" s="3" t="s">
        <v>282</v>
      </c>
      <c r="C219" s="3" t="s">
        <v>629</v>
      </c>
      <c r="D219" s="3" t="s">
        <v>654</v>
      </c>
      <c r="E219" s="3">
        <v>5405</v>
      </c>
      <c r="F219" s="4">
        <v>44</v>
      </c>
      <c r="G219" s="5">
        <v>15</v>
      </c>
      <c r="H219" s="5">
        <v>660</v>
      </c>
      <c r="I219" s="3" t="s">
        <v>1376</v>
      </c>
      <c r="J219" s="3" t="s">
        <v>1377</v>
      </c>
      <c r="K219" s="3" t="s">
        <v>492</v>
      </c>
      <c r="L219" s="3" t="s">
        <v>516</v>
      </c>
      <c r="M219" s="3" t="s">
        <v>494</v>
      </c>
      <c r="N219" s="3" t="s">
        <v>495</v>
      </c>
      <c r="O219" s="3" t="s">
        <v>285</v>
      </c>
      <c r="P219" s="3" t="s">
        <v>517</v>
      </c>
      <c r="Q219" s="6">
        <v>364</v>
      </c>
      <c r="R219" s="6">
        <v>240240</v>
      </c>
      <c r="S219" s="4">
        <v>19</v>
      </c>
      <c r="T219" s="3" t="s">
        <v>79</v>
      </c>
      <c r="U219" s="4">
        <v>44</v>
      </c>
      <c r="V219" s="3" t="s">
        <v>655</v>
      </c>
      <c r="W219" s="3" t="s">
        <v>656</v>
      </c>
    </row>
    <row r="220" spans="1:23" x14ac:dyDescent="0.3">
      <c r="A220" s="7" t="s">
        <v>624</v>
      </c>
      <c r="B220" s="8" t="s">
        <v>282</v>
      </c>
      <c r="C220" s="8" t="s">
        <v>629</v>
      </c>
      <c r="D220" s="8" t="s">
        <v>657</v>
      </c>
      <c r="E220" s="8">
        <v>5406</v>
      </c>
      <c r="F220" s="9">
        <v>70</v>
      </c>
      <c r="G220" s="10">
        <v>15</v>
      </c>
      <c r="H220" s="10">
        <v>1050</v>
      </c>
      <c r="I220" s="8" t="s">
        <v>1376</v>
      </c>
      <c r="J220" s="8" t="s">
        <v>1377</v>
      </c>
      <c r="K220" s="8" t="s">
        <v>492</v>
      </c>
      <c r="L220" s="8" t="s">
        <v>516</v>
      </c>
      <c r="M220" s="8" t="s">
        <v>494</v>
      </c>
      <c r="N220" s="8" t="s">
        <v>495</v>
      </c>
      <c r="O220" s="8" t="s">
        <v>285</v>
      </c>
      <c r="P220" s="8" t="s">
        <v>517</v>
      </c>
      <c r="Q220" s="11">
        <v>364</v>
      </c>
      <c r="R220" s="11">
        <v>382200</v>
      </c>
      <c r="S220" s="9">
        <v>19</v>
      </c>
      <c r="T220" s="8" t="s">
        <v>79</v>
      </c>
      <c r="U220" s="9">
        <v>70</v>
      </c>
      <c r="V220" s="8" t="s">
        <v>658</v>
      </c>
      <c r="W220" s="8" t="s">
        <v>659</v>
      </c>
    </row>
    <row r="221" spans="1:23" x14ac:dyDescent="0.3">
      <c r="A221" s="2" t="s">
        <v>624</v>
      </c>
      <c r="B221" s="3" t="s">
        <v>282</v>
      </c>
      <c r="C221" s="3" t="s">
        <v>629</v>
      </c>
      <c r="D221" s="3" t="s">
        <v>660</v>
      </c>
      <c r="E221" s="3">
        <v>5407</v>
      </c>
      <c r="F221" s="4">
        <v>17</v>
      </c>
      <c r="G221" s="5">
        <v>15</v>
      </c>
      <c r="H221" s="5">
        <v>255</v>
      </c>
      <c r="I221" s="3" t="s">
        <v>1376</v>
      </c>
      <c r="J221" s="3" t="s">
        <v>1377</v>
      </c>
      <c r="K221" s="3" t="s">
        <v>492</v>
      </c>
      <c r="L221" s="3" t="s">
        <v>516</v>
      </c>
      <c r="M221" s="3" t="s">
        <v>494</v>
      </c>
      <c r="N221" s="3" t="s">
        <v>495</v>
      </c>
      <c r="O221" s="3" t="s">
        <v>285</v>
      </c>
      <c r="P221" s="3" t="s">
        <v>517</v>
      </c>
      <c r="Q221" s="6">
        <v>364</v>
      </c>
      <c r="R221" s="6">
        <v>92820</v>
      </c>
      <c r="S221" s="4">
        <v>19</v>
      </c>
      <c r="T221" s="3" t="s">
        <v>79</v>
      </c>
      <c r="U221" s="4">
        <v>17</v>
      </c>
      <c r="V221" s="3" t="s">
        <v>661</v>
      </c>
      <c r="W221" s="3" t="s">
        <v>662</v>
      </c>
    </row>
    <row r="222" spans="1:23" x14ac:dyDescent="0.3">
      <c r="A222" s="7" t="s">
        <v>624</v>
      </c>
      <c r="B222" s="8" t="s">
        <v>282</v>
      </c>
      <c r="C222" s="8" t="s">
        <v>629</v>
      </c>
      <c r="D222" s="8" t="s">
        <v>663</v>
      </c>
      <c r="E222" s="8">
        <v>5408</v>
      </c>
      <c r="F222" s="9">
        <v>22</v>
      </c>
      <c r="G222" s="10">
        <v>15</v>
      </c>
      <c r="H222" s="10">
        <v>330</v>
      </c>
      <c r="I222" s="8" t="s">
        <v>1376</v>
      </c>
      <c r="J222" s="8" t="s">
        <v>1377</v>
      </c>
      <c r="K222" s="8" t="s">
        <v>492</v>
      </c>
      <c r="L222" s="8" t="s">
        <v>516</v>
      </c>
      <c r="M222" s="8" t="s">
        <v>494</v>
      </c>
      <c r="N222" s="8" t="s">
        <v>495</v>
      </c>
      <c r="O222" s="8" t="s">
        <v>285</v>
      </c>
      <c r="P222" s="8" t="s">
        <v>517</v>
      </c>
      <c r="Q222" s="11">
        <v>364</v>
      </c>
      <c r="R222" s="11">
        <v>120120</v>
      </c>
      <c r="S222" s="9">
        <v>19</v>
      </c>
      <c r="T222" s="8" t="s">
        <v>79</v>
      </c>
      <c r="U222" s="9">
        <v>22</v>
      </c>
      <c r="V222" s="8" t="s">
        <v>664</v>
      </c>
      <c r="W222" s="8" t="s">
        <v>665</v>
      </c>
    </row>
    <row r="223" spans="1:23" x14ac:dyDescent="0.3">
      <c r="A223" s="2" t="s">
        <v>624</v>
      </c>
      <c r="B223" s="3" t="s">
        <v>282</v>
      </c>
      <c r="C223" s="3" t="s">
        <v>629</v>
      </c>
      <c r="D223" s="3" t="s">
        <v>666</v>
      </c>
      <c r="E223" s="3">
        <v>5409</v>
      </c>
      <c r="F223" s="4">
        <v>47</v>
      </c>
      <c r="G223" s="5">
        <v>15</v>
      </c>
      <c r="H223" s="5">
        <v>705</v>
      </c>
      <c r="I223" s="3" t="s">
        <v>1376</v>
      </c>
      <c r="J223" s="3" t="s">
        <v>1377</v>
      </c>
      <c r="K223" s="3" t="s">
        <v>492</v>
      </c>
      <c r="L223" s="3" t="s">
        <v>516</v>
      </c>
      <c r="M223" s="3" t="s">
        <v>494</v>
      </c>
      <c r="N223" s="3" t="s">
        <v>495</v>
      </c>
      <c r="O223" s="3" t="s">
        <v>285</v>
      </c>
      <c r="P223" s="3" t="s">
        <v>517</v>
      </c>
      <c r="Q223" s="6">
        <v>364</v>
      </c>
      <c r="R223" s="6">
        <v>256620</v>
      </c>
      <c r="S223" s="4">
        <v>19</v>
      </c>
      <c r="T223" s="3" t="s">
        <v>79</v>
      </c>
      <c r="U223" s="4">
        <v>47</v>
      </c>
      <c r="V223" s="3" t="s">
        <v>667</v>
      </c>
      <c r="W223" s="3" t="s">
        <v>668</v>
      </c>
    </row>
    <row r="224" spans="1:23" x14ac:dyDescent="0.3">
      <c r="A224" s="7" t="s">
        <v>624</v>
      </c>
      <c r="B224" s="8" t="s">
        <v>282</v>
      </c>
      <c r="C224" s="8" t="s">
        <v>629</v>
      </c>
      <c r="D224" s="8" t="s">
        <v>669</v>
      </c>
      <c r="E224" s="8">
        <v>5410</v>
      </c>
      <c r="F224" s="9">
        <v>25</v>
      </c>
      <c r="G224" s="10">
        <v>15</v>
      </c>
      <c r="H224" s="10">
        <v>375</v>
      </c>
      <c r="I224" s="8" t="s">
        <v>1376</v>
      </c>
      <c r="J224" s="8" t="s">
        <v>1377</v>
      </c>
      <c r="K224" s="8" t="s">
        <v>492</v>
      </c>
      <c r="L224" s="8" t="s">
        <v>516</v>
      </c>
      <c r="M224" s="8" t="s">
        <v>494</v>
      </c>
      <c r="N224" s="8" t="s">
        <v>495</v>
      </c>
      <c r="O224" s="8" t="s">
        <v>285</v>
      </c>
      <c r="P224" s="8" t="s">
        <v>517</v>
      </c>
      <c r="Q224" s="11">
        <v>364</v>
      </c>
      <c r="R224" s="11">
        <v>136500</v>
      </c>
      <c r="S224" s="9">
        <v>19</v>
      </c>
      <c r="T224" s="8" t="s">
        <v>79</v>
      </c>
      <c r="U224" s="9">
        <v>25</v>
      </c>
      <c r="V224" s="8" t="s">
        <v>670</v>
      </c>
      <c r="W224" s="8" t="s">
        <v>671</v>
      </c>
    </row>
    <row r="225" spans="1:23" x14ac:dyDescent="0.3">
      <c r="A225" s="2" t="s">
        <v>624</v>
      </c>
      <c r="B225" s="3" t="s">
        <v>282</v>
      </c>
      <c r="C225" s="3" t="s">
        <v>629</v>
      </c>
      <c r="D225" s="3" t="s">
        <v>672</v>
      </c>
      <c r="E225" s="3">
        <v>5411</v>
      </c>
      <c r="F225" s="4">
        <v>17</v>
      </c>
      <c r="G225" s="5">
        <v>15</v>
      </c>
      <c r="H225" s="5">
        <v>255</v>
      </c>
      <c r="I225" s="3" t="s">
        <v>1376</v>
      </c>
      <c r="J225" s="3" t="s">
        <v>1377</v>
      </c>
      <c r="K225" s="3" t="s">
        <v>492</v>
      </c>
      <c r="L225" s="3" t="s">
        <v>516</v>
      </c>
      <c r="M225" s="3" t="s">
        <v>494</v>
      </c>
      <c r="N225" s="3" t="s">
        <v>495</v>
      </c>
      <c r="O225" s="3" t="s">
        <v>285</v>
      </c>
      <c r="P225" s="3" t="s">
        <v>517</v>
      </c>
      <c r="Q225" s="6">
        <v>364</v>
      </c>
      <c r="R225" s="6">
        <v>92820</v>
      </c>
      <c r="S225" s="4">
        <v>19</v>
      </c>
      <c r="T225" s="3" t="s">
        <v>79</v>
      </c>
      <c r="U225" s="4">
        <v>17</v>
      </c>
      <c r="V225" s="3" t="s">
        <v>673</v>
      </c>
      <c r="W225" s="3" t="s">
        <v>674</v>
      </c>
    </row>
    <row r="226" spans="1:23" x14ac:dyDescent="0.3">
      <c r="A226" s="7" t="s">
        <v>624</v>
      </c>
      <c r="B226" s="8" t="s">
        <v>282</v>
      </c>
      <c r="C226" s="8" t="s">
        <v>629</v>
      </c>
      <c r="D226" s="8" t="s">
        <v>675</v>
      </c>
      <c r="E226" s="8">
        <v>5412</v>
      </c>
      <c r="F226" s="9">
        <v>35</v>
      </c>
      <c r="G226" s="10">
        <v>15</v>
      </c>
      <c r="H226" s="10">
        <v>525</v>
      </c>
      <c r="I226" s="8" t="s">
        <v>1376</v>
      </c>
      <c r="J226" s="8" t="s">
        <v>1377</v>
      </c>
      <c r="K226" s="8" t="s">
        <v>492</v>
      </c>
      <c r="L226" s="8" t="s">
        <v>516</v>
      </c>
      <c r="M226" s="8" t="s">
        <v>494</v>
      </c>
      <c r="N226" s="8" t="s">
        <v>495</v>
      </c>
      <c r="O226" s="8" t="s">
        <v>285</v>
      </c>
      <c r="P226" s="8" t="s">
        <v>517</v>
      </c>
      <c r="Q226" s="11">
        <v>364</v>
      </c>
      <c r="R226" s="11">
        <v>191100</v>
      </c>
      <c r="S226" s="9">
        <v>19</v>
      </c>
      <c r="T226" s="8" t="s">
        <v>79</v>
      </c>
      <c r="U226" s="9">
        <v>35</v>
      </c>
      <c r="V226" s="8" t="s">
        <v>676</v>
      </c>
      <c r="W226" s="8" t="s">
        <v>677</v>
      </c>
    </row>
    <row r="227" spans="1:23" x14ac:dyDescent="0.3">
      <c r="A227" s="2" t="s">
        <v>624</v>
      </c>
      <c r="B227" s="3" t="s">
        <v>282</v>
      </c>
      <c r="C227" s="3" t="s">
        <v>629</v>
      </c>
      <c r="D227" s="3" t="s">
        <v>678</v>
      </c>
      <c r="E227" s="3">
        <v>5413</v>
      </c>
      <c r="F227" s="4">
        <v>19</v>
      </c>
      <c r="G227" s="5">
        <v>15</v>
      </c>
      <c r="H227" s="5">
        <v>285</v>
      </c>
      <c r="I227" s="3" t="s">
        <v>1376</v>
      </c>
      <c r="J227" s="3" t="s">
        <v>1377</v>
      </c>
      <c r="K227" s="3" t="s">
        <v>492</v>
      </c>
      <c r="L227" s="3" t="s">
        <v>516</v>
      </c>
      <c r="M227" s="3" t="s">
        <v>494</v>
      </c>
      <c r="N227" s="3" t="s">
        <v>495</v>
      </c>
      <c r="O227" s="3" t="s">
        <v>285</v>
      </c>
      <c r="P227" s="3" t="s">
        <v>517</v>
      </c>
      <c r="Q227" s="6">
        <v>364</v>
      </c>
      <c r="R227" s="6">
        <v>103740</v>
      </c>
      <c r="S227" s="4">
        <v>19</v>
      </c>
      <c r="T227" s="3" t="s">
        <v>79</v>
      </c>
      <c r="U227" s="4">
        <v>19</v>
      </c>
      <c r="V227" s="3" t="s">
        <v>679</v>
      </c>
      <c r="W227" s="3" t="s">
        <v>680</v>
      </c>
    </row>
    <row r="228" spans="1:23" x14ac:dyDescent="0.3">
      <c r="A228" s="7" t="s">
        <v>624</v>
      </c>
      <c r="B228" s="8" t="s">
        <v>282</v>
      </c>
      <c r="C228" s="8" t="s">
        <v>629</v>
      </c>
      <c r="D228" s="8" t="s">
        <v>681</v>
      </c>
      <c r="E228" s="8">
        <v>5414</v>
      </c>
      <c r="F228" s="9">
        <v>34</v>
      </c>
      <c r="G228" s="10">
        <v>15</v>
      </c>
      <c r="H228" s="10">
        <v>510</v>
      </c>
      <c r="I228" s="8" t="s">
        <v>1376</v>
      </c>
      <c r="J228" s="8" t="s">
        <v>1377</v>
      </c>
      <c r="K228" s="8" t="s">
        <v>492</v>
      </c>
      <c r="L228" s="8" t="s">
        <v>516</v>
      </c>
      <c r="M228" s="8" t="s">
        <v>494</v>
      </c>
      <c r="N228" s="8" t="s">
        <v>495</v>
      </c>
      <c r="O228" s="8" t="s">
        <v>285</v>
      </c>
      <c r="P228" s="8" t="s">
        <v>517</v>
      </c>
      <c r="Q228" s="11">
        <v>364</v>
      </c>
      <c r="R228" s="11">
        <v>185640</v>
      </c>
      <c r="S228" s="9">
        <v>19</v>
      </c>
      <c r="T228" s="8" t="s">
        <v>79</v>
      </c>
      <c r="U228" s="9">
        <v>34</v>
      </c>
      <c r="V228" s="8" t="s">
        <v>682</v>
      </c>
      <c r="W228" s="8" t="s">
        <v>683</v>
      </c>
    </row>
    <row r="229" spans="1:23" x14ac:dyDescent="0.3">
      <c r="A229" s="2" t="s">
        <v>624</v>
      </c>
      <c r="B229" s="3" t="s">
        <v>282</v>
      </c>
      <c r="C229" s="3" t="s">
        <v>629</v>
      </c>
      <c r="D229" s="3" t="s">
        <v>684</v>
      </c>
      <c r="E229" s="3">
        <v>5415</v>
      </c>
      <c r="F229" s="4">
        <v>11</v>
      </c>
      <c r="G229" s="5">
        <v>15</v>
      </c>
      <c r="H229" s="5">
        <v>165</v>
      </c>
      <c r="I229" s="3" t="s">
        <v>1376</v>
      </c>
      <c r="J229" s="3" t="s">
        <v>1377</v>
      </c>
      <c r="K229" s="3" t="s">
        <v>492</v>
      </c>
      <c r="L229" s="3" t="s">
        <v>516</v>
      </c>
      <c r="M229" s="3" t="s">
        <v>494</v>
      </c>
      <c r="N229" s="3" t="s">
        <v>495</v>
      </c>
      <c r="O229" s="3" t="s">
        <v>285</v>
      </c>
      <c r="P229" s="3" t="s">
        <v>517</v>
      </c>
      <c r="Q229" s="6">
        <v>364</v>
      </c>
      <c r="R229" s="6">
        <v>60060</v>
      </c>
      <c r="S229" s="4">
        <v>19</v>
      </c>
      <c r="T229" s="3" t="s">
        <v>79</v>
      </c>
      <c r="U229" s="4">
        <v>11</v>
      </c>
      <c r="V229" s="3" t="s">
        <v>685</v>
      </c>
      <c r="W229" s="3" t="s">
        <v>686</v>
      </c>
    </row>
    <row r="230" spans="1:23" x14ac:dyDescent="0.3">
      <c r="A230" s="7" t="s">
        <v>624</v>
      </c>
      <c r="B230" s="8" t="s">
        <v>282</v>
      </c>
      <c r="C230" s="8" t="s">
        <v>629</v>
      </c>
      <c r="D230" s="8" t="s">
        <v>687</v>
      </c>
      <c r="E230" s="8">
        <v>5416</v>
      </c>
      <c r="F230" s="9">
        <v>15</v>
      </c>
      <c r="G230" s="10">
        <v>15</v>
      </c>
      <c r="H230" s="10">
        <v>225</v>
      </c>
      <c r="I230" s="8" t="s">
        <v>1376</v>
      </c>
      <c r="J230" s="8" t="s">
        <v>1377</v>
      </c>
      <c r="K230" s="8" t="s">
        <v>492</v>
      </c>
      <c r="L230" s="8" t="s">
        <v>516</v>
      </c>
      <c r="M230" s="8" t="s">
        <v>494</v>
      </c>
      <c r="N230" s="8" t="s">
        <v>495</v>
      </c>
      <c r="O230" s="8" t="s">
        <v>285</v>
      </c>
      <c r="P230" s="8" t="s">
        <v>517</v>
      </c>
      <c r="Q230" s="11">
        <v>364</v>
      </c>
      <c r="R230" s="11">
        <v>81900</v>
      </c>
      <c r="S230" s="9">
        <v>19</v>
      </c>
      <c r="T230" s="8" t="s">
        <v>79</v>
      </c>
      <c r="U230" s="9">
        <v>15</v>
      </c>
      <c r="V230" s="8" t="s">
        <v>688</v>
      </c>
      <c r="W230" s="8" t="s">
        <v>689</v>
      </c>
    </row>
    <row r="231" spans="1:23" x14ac:dyDescent="0.3">
      <c r="A231" s="2" t="s">
        <v>624</v>
      </c>
      <c r="B231" s="3" t="s">
        <v>282</v>
      </c>
      <c r="C231" s="3" t="s">
        <v>629</v>
      </c>
      <c r="D231" s="3" t="s">
        <v>690</v>
      </c>
      <c r="E231" s="3">
        <v>5417</v>
      </c>
      <c r="F231" s="4">
        <v>20</v>
      </c>
      <c r="G231" s="5">
        <v>15</v>
      </c>
      <c r="H231" s="5">
        <v>300</v>
      </c>
      <c r="I231" s="3" t="s">
        <v>1376</v>
      </c>
      <c r="J231" s="3" t="s">
        <v>1377</v>
      </c>
      <c r="K231" s="3" t="s">
        <v>492</v>
      </c>
      <c r="L231" s="3" t="s">
        <v>516</v>
      </c>
      <c r="M231" s="3" t="s">
        <v>494</v>
      </c>
      <c r="N231" s="3" t="s">
        <v>495</v>
      </c>
      <c r="O231" s="3" t="s">
        <v>285</v>
      </c>
      <c r="P231" s="3" t="s">
        <v>517</v>
      </c>
      <c r="Q231" s="6">
        <v>364</v>
      </c>
      <c r="R231" s="6">
        <v>109200</v>
      </c>
      <c r="S231" s="4">
        <v>19</v>
      </c>
      <c r="T231" s="3" t="s">
        <v>79</v>
      </c>
      <c r="U231" s="4">
        <v>20</v>
      </c>
      <c r="V231" s="3" t="s">
        <v>691</v>
      </c>
      <c r="W231" s="3" t="s">
        <v>692</v>
      </c>
    </row>
    <row r="232" spans="1:23" x14ac:dyDescent="0.3">
      <c r="A232" s="7" t="s">
        <v>624</v>
      </c>
      <c r="B232" s="8" t="s">
        <v>282</v>
      </c>
      <c r="C232" s="8" t="s">
        <v>629</v>
      </c>
      <c r="D232" s="8" t="s">
        <v>693</v>
      </c>
      <c r="E232" s="8">
        <v>5418</v>
      </c>
      <c r="F232" s="9">
        <v>21</v>
      </c>
      <c r="G232" s="10">
        <v>15</v>
      </c>
      <c r="H232" s="10">
        <v>315</v>
      </c>
      <c r="I232" s="8" t="s">
        <v>1376</v>
      </c>
      <c r="J232" s="8" t="s">
        <v>1377</v>
      </c>
      <c r="K232" s="8" t="s">
        <v>492</v>
      </c>
      <c r="L232" s="8" t="s">
        <v>516</v>
      </c>
      <c r="M232" s="8" t="s">
        <v>494</v>
      </c>
      <c r="N232" s="8" t="s">
        <v>495</v>
      </c>
      <c r="O232" s="8" t="s">
        <v>285</v>
      </c>
      <c r="P232" s="8" t="s">
        <v>517</v>
      </c>
      <c r="Q232" s="11">
        <v>364</v>
      </c>
      <c r="R232" s="11">
        <v>114660</v>
      </c>
      <c r="S232" s="9">
        <v>19</v>
      </c>
      <c r="T232" s="8" t="s">
        <v>79</v>
      </c>
      <c r="U232" s="9">
        <v>21</v>
      </c>
      <c r="V232" s="8" t="s">
        <v>694</v>
      </c>
      <c r="W232" s="8" t="s">
        <v>695</v>
      </c>
    </row>
    <row r="233" spans="1:23" x14ac:dyDescent="0.3">
      <c r="A233" s="2" t="s">
        <v>624</v>
      </c>
      <c r="B233" s="3" t="s">
        <v>282</v>
      </c>
      <c r="C233" s="3" t="s">
        <v>629</v>
      </c>
      <c r="D233" s="3" t="s">
        <v>696</v>
      </c>
      <c r="E233" s="3">
        <v>5419</v>
      </c>
      <c r="F233" s="4">
        <v>34</v>
      </c>
      <c r="G233" s="5">
        <v>15</v>
      </c>
      <c r="H233" s="5">
        <v>510</v>
      </c>
      <c r="I233" s="3" t="s">
        <v>1376</v>
      </c>
      <c r="J233" s="3" t="s">
        <v>1377</v>
      </c>
      <c r="K233" s="3" t="s">
        <v>492</v>
      </c>
      <c r="L233" s="3" t="s">
        <v>516</v>
      </c>
      <c r="M233" s="3" t="s">
        <v>494</v>
      </c>
      <c r="N233" s="3" t="s">
        <v>495</v>
      </c>
      <c r="O233" s="3" t="s">
        <v>285</v>
      </c>
      <c r="P233" s="3" t="s">
        <v>517</v>
      </c>
      <c r="Q233" s="6">
        <v>364</v>
      </c>
      <c r="R233" s="6">
        <v>185640</v>
      </c>
      <c r="S233" s="4">
        <v>19</v>
      </c>
      <c r="T233" s="3" t="s">
        <v>79</v>
      </c>
      <c r="U233" s="4">
        <v>34</v>
      </c>
      <c r="V233" s="3" t="s">
        <v>697</v>
      </c>
      <c r="W233" s="3" t="s">
        <v>698</v>
      </c>
    </row>
    <row r="234" spans="1:23" x14ac:dyDescent="0.3">
      <c r="A234" s="7" t="s">
        <v>624</v>
      </c>
      <c r="B234" s="8" t="s">
        <v>282</v>
      </c>
      <c r="C234" s="8" t="s">
        <v>629</v>
      </c>
      <c r="D234" s="8" t="s">
        <v>699</v>
      </c>
      <c r="E234" s="8">
        <v>5420</v>
      </c>
      <c r="F234" s="9">
        <v>21</v>
      </c>
      <c r="G234" s="10">
        <v>15</v>
      </c>
      <c r="H234" s="10">
        <v>315</v>
      </c>
      <c r="I234" s="8" t="s">
        <v>1376</v>
      </c>
      <c r="J234" s="8" t="s">
        <v>1377</v>
      </c>
      <c r="K234" s="8" t="s">
        <v>492</v>
      </c>
      <c r="L234" s="8" t="s">
        <v>516</v>
      </c>
      <c r="M234" s="8" t="s">
        <v>494</v>
      </c>
      <c r="N234" s="8" t="s">
        <v>495</v>
      </c>
      <c r="O234" s="8" t="s">
        <v>285</v>
      </c>
      <c r="P234" s="8" t="s">
        <v>517</v>
      </c>
      <c r="Q234" s="11">
        <v>364</v>
      </c>
      <c r="R234" s="11">
        <v>114660</v>
      </c>
      <c r="S234" s="9">
        <v>19</v>
      </c>
      <c r="T234" s="8" t="s">
        <v>79</v>
      </c>
      <c r="U234" s="9">
        <v>21</v>
      </c>
      <c r="V234" s="8" t="s">
        <v>700</v>
      </c>
      <c r="W234" s="8" t="s">
        <v>701</v>
      </c>
    </row>
    <row r="235" spans="1:23" x14ac:dyDescent="0.3">
      <c r="A235" s="2" t="s">
        <v>702</v>
      </c>
      <c r="B235" s="3" t="s">
        <v>282</v>
      </c>
      <c r="C235" s="3" t="s">
        <v>703</v>
      </c>
      <c r="D235" s="3" t="s">
        <v>564</v>
      </c>
      <c r="E235" s="3">
        <v>5547</v>
      </c>
      <c r="F235" s="4">
        <v>4</v>
      </c>
      <c r="G235" s="5">
        <v>10</v>
      </c>
      <c r="H235" s="5">
        <v>40</v>
      </c>
      <c r="I235" s="3" t="s">
        <v>1378</v>
      </c>
      <c r="J235" s="3" t="s">
        <v>567</v>
      </c>
      <c r="K235" s="3" t="s">
        <v>565</v>
      </c>
      <c r="L235" s="3" t="s">
        <v>566</v>
      </c>
      <c r="M235" s="3" t="s">
        <v>567</v>
      </c>
      <c r="N235" s="3" t="s">
        <v>495</v>
      </c>
      <c r="O235" s="3" t="s">
        <v>285</v>
      </c>
      <c r="P235" s="3" t="s">
        <v>153</v>
      </c>
      <c r="Q235" s="6">
        <v>1380</v>
      </c>
      <c r="R235" s="6">
        <v>55200</v>
      </c>
      <c r="S235" s="4">
        <v>17</v>
      </c>
      <c r="T235" s="3" t="s">
        <v>79</v>
      </c>
      <c r="U235" s="4">
        <v>4</v>
      </c>
      <c r="V235" s="3" t="s">
        <v>704</v>
      </c>
      <c r="W235" s="3" t="s">
        <v>705</v>
      </c>
    </row>
    <row r="236" spans="1:23" x14ac:dyDescent="0.3">
      <c r="A236" s="7" t="s">
        <v>702</v>
      </c>
      <c r="B236" s="8" t="s">
        <v>282</v>
      </c>
      <c r="C236" s="8" t="s">
        <v>703</v>
      </c>
      <c r="D236" s="8" t="s">
        <v>706</v>
      </c>
      <c r="E236" s="8">
        <v>5548</v>
      </c>
      <c r="F236" s="9">
        <v>1</v>
      </c>
      <c r="G236" s="10">
        <v>13.6</v>
      </c>
      <c r="H236" s="10">
        <v>13.6</v>
      </c>
      <c r="I236" s="8" t="s">
        <v>1378</v>
      </c>
      <c r="J236" s="8" t="s">
        <v>567</v>
      </c>
      <c r="K236" s="8" t="s">
        <v>627</v>
      </c>
      <c r="L236" s="8" t="s">
        <v>707</v>
      </c>
      <c r="M236" s="8" t="s">
        <v>708</v>
      </c>
      <c r="N236" s="8" t="s">
        <v>495</v>
      </c>
      <c r="O236" s="8" t="s">
        <v>285</v>
      </c>
      <c r="P236" s="8" t="s">
        <v>153</v>
      </c>
      <c r="Q236" s="11">
        <v>464.5</v>
      </c>
      <c r="R236" s="11">
        <v>6317.2</v>
      </c>
      <c r="S236" s="9">
        <v>17</v>
      </c>
      <c r="T236" s="8" t="s">
        <v>79</v>
      </c>
      <c r="U236" s="9">
        <v>1</v>
      </c>
      <c r="V236" s="8" t="s">
        <v>709</v>
      </c>
      <c r="W236" s="8" t="s">
        <v>710</v>
      </c>
    </row>
    <row r="237" spans="1:23" x14ac:dyDescent="0.3">
      <c r="A237" s="2" t="s">
        <v>702</v>
      </c>
      <c r="B237" s="3" t="s">
        <v>282</v>
      </c>
      <c r="C237" s="3" t="s">
        <v>703</v>
      </c>
      <c r="D237" s="3" t="s">
        <v>711</v>
      </c>
      <c r="E237" s="3">
        <v>5551</v>
      </c>
      <c r="F237" s="4">
        <v>1</v>
      </c>
      <c r="G237" s="5">
        <v>11.34</v>
      </c>
      <c r="H237" s="5">
        <v>11.34</v>
      </c>
      <c r="I237" s="3" t="s">
        <v>1378</v>
      </c>
      <c r="J237" s="3" t="s">
        <v>1379</v>
      </c>
      <c r="K237" s="3" t="s">
        <v>712</v>
      </c>
      <c r="L237" s="3" t="s">
        <v>153</v>
      </c>
      <c r="M237" s="3" t="s">
        <v>713</v>
      </c>
      <c r="N237" s="3" t="s">
        <v>495</v>
      </c>
      <c r="O237" s="3" t="s">
        <v>285</v>
      </c>
      <c r="P237" s="3" t="s">
        <v>153</v>
      </c>
      <c r="Q237" s="6">
        <v>1820.3</v>
      </c>
      <c r="R237" s="6">
        <v>20642.202000000001</v>
      </c>
      <c r="S237" s="4">
        <v>17</v>
      </c>
      <c r="T237" s="3" t="s">
        <v>79</v>
      </c>
      <c r="U237" s="4">
        <v>1</v>
      </c>
      <c r="V237" s="3" t="s">
        <v>714</v>
      </c>
      <c r="W237" s="3" t="s">
        <v>715</v>
      </c>
    </row>
    <row r="238" spans="1:23" x14ac:dyDescent="0.3">
      <c r="A238" s="7" t="s">
        <v>702</v>
      </c>
      <c r="B238" s="8" t="s">
        <v>282</v>
      </c>
      <c r="C238" s="8" t="s">
        <v>703</v>
      </c>
      <c r="D238" s="8" t="s">
        <v>716</v>
      </c>
      <c r="E238" s="8">
        <v>5552</v>
      </c>
      <c r="F238" s="9">
        <v>1</v>
      </c>
      <c r="G238" s="10">
        <v>11.34</v>
      </c>
      <c r="H238" s="10">
        <v>11.34</v>
      </c>
      <c r="I238" s="8" t="s">
        <v>1378</v>
      </c>
      <c r="J238" s="8" t="s">
        <v>1379</v>
      </c>
      <c r="K238" s="8" t="s">
        <v>717</v>
      </c>
      <c r="L238" s="8" t="s">
        <v>153</v>
      </c>
      <c r="M238" s="8" t="s">
        <v>718</v>
      </c>
      <c r="N238" s="8" t="s">
        <v>495</v>
      </c>
      <c r="O238" s="8" t="s">
        <v>285</v>
      </c>
      <c r="P238" s="8" t="s">
        <v>153</v>
      </c>
      <c r="Q238" s="11">
        <v>1290</v>
      </c>
      <c r="R238" s="11">
        <v>14628.6</v>
      </c>
      <c r="S238" s="9">
        <v>17</v>
      </c>
      <c r="T238" s="8" t="s">
        <v>79</v>
      </c>
      <c r="U238" s="9">
        <v>1</v>
      </c>
      <c r="V238" s="8" t="s">
        <v>719</v>
      </c>
      <c r="W238" s="8" t="s">
        <v>720</v>
      </c>
    </row>
    <row r="239" spans="1:23" x14ac:dyDescent="0.3">
      <c r="A239" s="2" t="s">
        <v>702</v>
      </c>
      <c r="B239" s="3" t="s">
        <v>282</v>
      </c>
      <c r="C239" s="3" t="s">
        <v>703</v>
      </c>
      <c r="D239" s="3" t="s">
        <v>721</v>
      </c>
      <c r="E239" s="3">
        <v>5553</v>
      </c>
      <c r="F239" s="4">
        <v>1</v>
      </c>
      <c r="G239" s="5">
        <v>11.34</v>
      </c>
      <c r="H239" s="5">
        <v>11.34</v>
      </c>
      <c r="I239" s="3" t="s">
        <v>1378</v>
      </c>
      <c r="J239" s="3" t="s">
        <v>1379</v>
      </c>
      <c r="K239" s="3" t="s">
        <v>505</v>
      </c>
      <c r="L239" s="3" t="s">
        <v>153</v>
      </c>
      <c r="M239" s="3" t="s">
        <v>507</v>
      </c>
      <c r="N239" s="3" t="s">
        <v>495</v>
      </c>
      <c r="O239" s="3" t="s">
        <v>285</v>
      </c>
      <c r="P239" s="3" t="s">
        <v>153</v>
      </c>
      <c r="Q239" s="6">
        <v>900</v>
      </c>
      <c r="R239" s="6">
        <v>10206</v>
      </c>
      <c r="S239" s="4">
        <v>17</v>
      </c>
      <c r="T239" s="3" t="s">
        <v>79</v>
      </c>
      <c r="U239" s="4">
        <v>1</v>
      </c>
      <c r="V239" s="3" t="s">
        <v>722</v>
      </c>
      <c r="W239" s="3" t="s">
        <v>723</v>
      </c>
    </row>
    <row r="240" spans="1:23" x14ac:dyDescent="0.3">
      <c r="A240" s="12" t="s">
        <v>334</v>
      </c>
      <c r="B240" s="13" t="s">
        <v>282</v>
      </c>
      <c r="C240" s="13" t="s">
        <v>724</v>
      </c>
      <c r="D240" s="13" t="s">
        <v>725</v>
      </c>
      <c r="E240" s="13">
        <v>6393</v>
      </c>
      <c r="F240" s="14">
        <v>83</v>
      </c>
      <c r="G240" s="15">
        <v>10</v>
      </c>
      <c r="H240" s="15">
        <v>830</v>
      </c>
      <c r="I240" s="13" t="s">
        <v>1396</v>
      </c>
      <c r="J240" s="13" t="s">
        <v>1397</v>
      </c>
      <c r="K240" s="13" t="s">
        <v>726</v>
      </c>
      <c r="L240" s="13" t="s">
        <v>153</v>
      </c>
      <c r="M240" s="13" t="s">
        <v>727</v>
      </c>
      <c r="N240" s="13" t="s">
        <v>495</v>
      </c>
      <c r="O240" s="13" t="s">
        <v>285</v>
      </c>
      <c r="P240" s="13" t="s">
        <v>153</v>
      </c>
      <c r="Q240" s="16">
        <v>650</v>
      </c>
      <c r="R240" s="16">
        <v>539500</v>
      </c>
      <c r="S240" s="14">
        <v>11</v>
      </c>
      <c r="T240" s="13" t="s">
        <v>79</v>
      </c>
      <c r="U240" s="14">
        <v>83</v>
      </c>
      <c r="W240" s="13"/>
    </row>
    <row r="241" spans="1:23" x14ac:dyDescent="0.3">
      <c r="A241" s="12" t="s">
        <v>334</v>
      </c>
      <c r="B241" s="13" t="s">
        <v>282</v>
      </c>
      <c r="C241" s="13" t="s">
        <v>724</v>
      </c>
      <c r="D241" s="13" t="s">
        <v>728</v>
      </c>
      <c r="E241" s="13">
        <v>6394</v>
      </c>
      <c r="F241" s="14">
        <v>14</v>
      </c>
      <c r="G241" s="15">
        <v>10</v>
      </c>
      <c r="H241" s="15">
        <v>140</v>
      </c>
      <c r="I241" s="13" t="s">
        <v>1396</v>
      </c>
      <c r="J241" s="13" t="s">
        <v>1397</v>
      </c>
      <c r="K241" s="13" t="s">
        <v>729</v>
      </c>
      <c r="L241" s="13" t="s">
        <v>153</v>
      </c>
      <c r="M241" s="13" t="s">
        <v>727</v>
      </c>
      <c r="N241" s="13" t="s">
        <v>495</v>
      </c>
      <c r="O241" s="13" t="s">
        <v>285</v>
      </c>
      <c r="P241" s="13" t="s">
        <v>153</v>
      </c>
      <c r="Q241" s="16">
        <v>650</v>
      </c>
      <c r="R241" s="16">
        <v>91000</v>
      </c>
      <c r="S241" s="14">
        <v>11</v>
      </c>
      <c r="T241" s="13" t="s">
        <v>79</v>
      </c>
      <c r="U241" s="14">
        <v>14</v>
      </c>
      <c r="V241" s="13"/>
      <c r="W241" s="13"/>
    </row>
    <row r="242" spans="1:23" x14ac:dyDescent="0.3">
      <c r="A242" s="12" t="s">
        <v>334</v>
      </c>
      <c r="B242" s="13" t="s">
        <v>282</v>
      </c>
      <c r="C242" s="13" t="s">
        <v>730</v>
      </c>
      <c r="D242" s="13" t="s">
        <v>619</v>
      </c>
      <c r="E242" s="13">
        <v>6395</v>
      </c>
      <c r="F242" s="14">
        <v>83</v>
      </c>
      <c r="G242" s="15">
        <v>30</v>
      </c>
      <c r="H242" s="15">
        <v>2490</v>
      </c>
      <c r="I242" s="13" t="s">
        <v>1394</v>
      </c>
      <c r="J242" s="13" t="s">
        <v>1395</v>
      </c>
      <c r="K242" s="13" t="s">
        <v>620</v>
      </c>
      <c r="L242" s="13" t="s">
        <v>615</v>
      </c>
      <c r="M242" s="13" t="s">
        <v>621</v>
      </c>
      <c r="N242" s="13" t="s">
        <v>495</v>
      </c>
      <c r="O242" s="13" t="s">
        <v>285</v>
      </c>
      <c r="P242" s="13">
        <v>0</v>
      </c>
      <c r="Q242" s="16">
        <v>820</v>
      </c>
      <c r="R242" s="16">
        <v>2041800</v>
      </c>
      <c r="S242" s="14">
        <v>11</v>
      </c>
      <c r="T242" s="13" t="s">
        <v>79</v>
      </c>
      <c r="U242" s="14">
        <v>83</v>
      </c>
      <c r="V242" s="13" t="e">
        <f>VLOOKUP(E242,'[1]Consolidated Stock'!$E:$V,18,0)</f>
        <v>#N/A</v>
      </c>
      <c r="W242" s="13"/>
    </row>
    <row r="243" spans="1:23" x14ac:dyDescent="0.3">
      <c r="A243" s="2" t="s">
        <v>731</v>
      </c>
      <c r="B243" s="3" t="s">
        <v>282</v>
      </c>
      <c r="C243" s="3" t="s">
        <v>732</v>
      </c>
      <c r="D243" s="3" t="s">
        <v>733</v>
      </c>
      <c r="E243" s="3">
        <v>7647</v>
      </c>
      <c r="F243" s="4">
        <v>14</v>
      </c>
      <c r="G243" s="5">
        <v>10</v>
      </c>
      <c r="H243" s="5">
        <v>140</v>
      </c>
      <c r="I243" s="3" t="s">
        <v>1376</v>
      </c>
      <c r="J243" s="3" t="s">
        <v>1377</v>
      </c>
      <c r="K243" s="3" t="s">
        <v>492</v>
      </c>
      <c r="L243" s="3" t="s">
        <v>516</v>
      </c>
      <c r="M243" s="3" t="s">
        <v>494</v>
      </c>
      <c r="N243" s="3" t="s">
        <v>495</v>
      </c>
      <c r="O243" s="3" t="s">
        <v>285</v>
      </c>
      <c r="P243" s="3" t="s">
        <v>577</v>
      </c>
      <c r="Q243" s="6">
        <v>369</v>
      </c>
      <c r="R243" s="6">
        <v>51660</v>
      </c>
      <c r="S243" s="4">
        <v>2</v>
      </c>
      <c r="T243" s="3" t="s">
        <v>79</v>
      </c>
      <c r="U243" s="4">
        <v>14</v>
      </c>
      <c r="V243" s="3" t="s">
        <v>734</v>
      </c>
      <c r="W243" s="3" t="s">
        <v>735</v>
      </c>
    </row>
    <row r="244" spans="1:23" x14ac:dyDescent="0.3">
      <c r="A244" s="7" t="s">
        <v>731</v>
      </c>
      <c r="B244" s="8" t="s">
        <v>282</v>
      </c>
      <c r="C244" s="8" t="s">
        <v>732</v>
      </c>
      <c r="D244" s="8" t="s">
        <v>736</v>
      </c>
      <c r="E244" s="8">
        <v>7648</v>
      </c>
      <c r="F244" s="9">
        <v>190</v>
      </c>
      <c r="G244" s="10">
        <v>10</v>
      </c>
      <c r="H244" s="10">
        <v>1900</v>
      </c>
      <c r="I244" s="8" t="s">
        <v>1376</v>
      </c>
      <c r="J244" s="8" t="s">
        <v>1377</v>
      </c>
      <c r="K244" s="8" t="s">
        <v>492</v>
      </c>
      <c r="L244" s="8" t="s">
        <v>516</v>
      </c>
      <c r="M244" s="8" t="s">
        <v>494</v>
      </c>
      <c r="N244" s="8" t="s">
        <v>495</v>
      </c>
      <c r="O244" s="8" t="s">
        <v>285</v>
      </c>
      <c r="P244" s="8" t="s">
        <v>577</v>
      </c>
      <c r="Q244" s="11">
        <v>369</v>
      </c>
      <c r="R244" s="11">
        <v>701100</v>
      </c>
      <c r="S244" s="9">
        <v>2</v>
      </c>
      <c r="T244" s="8" t="s">
        <v>79</v>
      </c>
      <c r="U244" s="9">
        <v>190</v>
      </c>
      <c r="V244" s="8" t="s">
        <v>737</v>
      </c>
      <c r="W244" s="8" t="s">
        <v>738</v>
      </c>
    </row>
    <row r="245" spans="1:23" x14ac:dyDescent="0.3">
      <c r="A245" s="2" t="s">
        <v>731</v>
      </c>
      <c r="B245" s="3" t="s">
        <v>282</v>
      </c>
      <c r="C245" s="3" t="s">
        <v>732</v>
      </c>
      <c r="D245" s="3" t="s">
        <v>739</v>
      </c>
      <c r="E245" s="3">
        <v>7649</v>
      </c>
      <c r="F245" s="4">
        <v>75</v>
      </c>
      <c r="G245" s="5">
        <v>10</v>
      </c>
      <c r="H245" s="5">
        <v>750</v>
      </c>
      <c r="I245" s="3" t="s">
        <v>1376</v>
      </c>
      <c r="J245" s="3" t="s">
        <v>1377</v>
      </c>
      <c r="K245" s="3" t="s">
        <v>492</v>
      </c>
      <c r="L245" s="3" t="s">
        <v>516</v>
      </c>
      <c r="M245" s="3" t="s">
        <v>494</v>
      </c>
      <c r="N245" s="3" t="s">
        <v>495</v>
      </c>
      <c r="O245" s="3" t="s">
        <v>285</v>
      </c>
      <c r="P245" s="3" t="s">
        <v>577</v>
      </c>
      <c r="Q245" s="6">
        <v>369</v>
      </c>
      <c r="R245" s="6">
        <v>276750</v>
      </c>
      <c r="S245" s="4">
        <v>2</v>
      </c>
      <c r="T245" s="3" t="s">
        <v>79</v>
      </c>
      <c r="U245" s="4">
        <v>75</v>
      </c>
      <c r="V245" s="3" t="s">
        <v>1404</v>
      </c>
      <c r="W245" s="3" t="s">
        <v>1403</v>
      </c>
    </row>
    <row r="246" spans="1:23" x14ac:dyDescent="0.3">
      <c r="A246" s="7" t="s">
        <v>731</v>
      </c>
      <c r="B246" s="8" t="s">
        <v>282</v>
      </c>
      <c r="C246" s="8" t="s">
        <v>732</v>
      </c>
      <c r="D246" s="8" t="s">
        <v>740</v>
      </c>
      <c r="E246" s="8">
        <v>7650</v>
      </c>
      <c r="F246" s="9">
        <v>47</v>
      </c>
      <c r="G246" s="10">
        <v>10</v>
      </c>
      <c r="H246" s="10">
        <v>470</v>
      </c>
      <c r="I246" s="8" t="s">
        <v>1376</v>
      </c>
      <c r="J246" s="8" t="s">
        <v>1377</v>
      </c>
      <c r="K246" s="8" t="s">
        <v>492</v>
      </c>
      <c r="L246" s="8" t="s">
        <v>516</v>
      </c>
      <c r="M246" s="8" t="s">
        <v>494</v>
      </c>
      <c r="N246" s="8" t="s">
        <v>495</v>
      </c>
      <c r="O246" s="8" t="s">
        <v>285</v>
      </c>
      <c r="P246" s="8" t="s">
        <v>577</v>
      </c>
      <c r="Q246" s="11">
        <v>369</v>
      </c>
      <c r="R246" s="11">
        <v>173430</v>
      </c>
      <c r="S246" s="9">
        <v>2</v>
      </c>
      <c r="T246" s="8" t="s">
        <v>79</v>
      </c>
      <c r="U246" s="9">
        <v>47</v>
      </c>
      <c r="V246" s="8" t="s">
        <v>741</v>
      </c>
      <c r="W246" s="8" t="s">
        <v>742</v>
      </c>
    </row>
    <row r="247" spans="1:23" x14ac:dyDescent="0.3">
      <c r="A247" s="2" t="s">
        <v>731</v>
      </c>
      <c r="B247" s="3" t="s">
        <v>282</v>
      </c>
      <c r="C247" s="3" t="s">
        <v>732</v>
      </c>
      <c r="D247" s="3" t="s">
        <v>743</v>
      </c>
      <c r="E247" s="3">
        <v>7651</v>
      </c>
      <c r="F247" s="4">
        <v>70</v>
      </c>
      <c r="G247" s="5">
        <v>10</v>
      </c>
      <c r="H247" s="5">
        <v>700</v>
      </c>
      <c r="I247" s="3" t="s">
        <v>1376</v>
      </c>
      <c r="J247" s="3" t="s">
        <v>1377</v>
      </c>
      <c r="K247" s="3" t="s">
        <v>492</v>
      </c>
      <c r="L247" s="3" t="s">
        <v>516</v>
      </c>
      <c r="M247" s="3" t="s">
        <v>494</v>
      </c>
      <c r="N247" s="3" t="s">
        <v>495</v>
      </c>
      <c r="O247" s="3" t="s">
        <v>285</v>
      </c>
      <c r="P247" s="3" t="s">
        <v>577</v>
      </c>
      <c r="Q247" s="6">
        <v>369</v>
      </c>
      <c r="R247" s="6">
        <v>258300</v>
      </c>
      <c r="S247" s="4">
        <v>2</v>
      </c>
      <c r="T247" s="3" t="s">
        <v>79</v>
      </c>
      <c r="U247" s="4">
        <v>70</v>
      </c>
      <c r="V247" s="3" t="s">
        <v>744</v>
      </c>
      <c r="W247" s="3" t="s">
        <v>745</v>
      </c>
    </row>
    <row r="248" spans="1:23" x14ac:dyDescent="0.3">
      <c r="A248" s="7" t="s">
        <v>731</v>
      </c>
      <c r="B248" s="8" t="s">
        <v>282</v>
      </c>
      <c r="C248" s="8" t="s">
        <v>732</v>
      </c>
      <c r="D248" s="8" t="s">
        <v>746</v>
      </c>
      <c r="E248" s="8">
        <v>7652</v>
      </c>
      <c r="F248" s="9">
        <v>45</v>
      </c>
      <c r="G248" s="10">
        <v>10</v>
      </c>
      <c r="H248" s="10">
        <v>450</v>
      </c>
      <c r="I248" s="8" t="s">
        <v>1376</v>
      </c>
      <c r="J248" s="8" t="s">
        <v>1377</v>
      </c>
      <c r="K248" s="8" t="s">
        <v>492</v>
      </c>
      <c r="L248" s="8" t="s">
        <v>516</v>
      </c>
      <c r="M248" s="8" t="s">
        <v>494</v>
      </c>
      <c r="N248" s="8" t="s">
        <v>495</v>
      </c>
      <c r="O248" s="8" t="s">
        <v>285</v>
      </c>
      <c r="P248" s="8" t="s">
        <v>577</v>
      </c>
      <c r="Q248" s="11">
        <v>369</v>
      </c>
      <c r="R248" s="11">
        <v>166050</v>
      </c>
      <c r="S248" s="9">
        <v>2</v>
      </c>
      <c r="T248" s="8" t="s">
        <v>79</v>
      </c>
      <c r="U248" s="9">
        <v>45</v>
      </c>
      <c r="V248" s="8" t="s">
        <v>747</v>
      </c>
      <c r="W248" s="8" t="s">
        <v>748</v>
      </c>
    </row>
    <row r="249" spans="1:23" x14ac:dyDescent="0.3">
      <c r="A249" s="2" t="s">
        <v>731</v>
      </c>
      <c r="B249" s="3" t="s">
        <v>282</v>
      </c>
      <c r="C249" s="3" t="s">
        <v>732</v>
      </c>
      <c r="D249" s="3" t="s">
        <v>749</v>
      </c>
      <c r="E249" s="3">
        <v>7653</v>
      </c>
      <c r="F249" s="4">
        <v>91</v>
      </c>
      <c r="G249" s="5">
        <v>10</v>
      </c>
      <c r="H249" s="5">
        <v>910</v>
      </c>
      <c r="I249" s="3" t="s">
        <v>1376</v>
      </c>
      <c r="J249" s="3" t="s">
        <v>1377</v>
      </c>
      <c r="K249" s="3" t="s">
        <v>492</v>
      </c>
      <c r="L249" s="3" t="s">
        <v>516</v>
      </c>
      <c r="M249" s="3" t="s">
        <v>494</v>
      </c>
      <c r="N249" s="3" t="s">
        <v>495</v>
      </c>
      <c r="O249" s="3" t="s">
        <v>285</v>
      </c>
      <c r="P249" s="3" t="s">
        <v>577</v>
      </c>
      <c r="Q249" s="6">
        <v>369</v>
      </c>
      <c r="R249" s="6">
        <v>335790</v>
      </c>
      <c r="S249" s="4">
        <v>2</v>
      </c>
      <c r="T249" s="3" t="s">
        <v>79</v>
      </c>
      <c r="U249" s="4">
        <v>91</v>
      </c>
      <c r="V249" s="3" t="s">
        <v>750</v>
      </c>
      <c r="W249" s="3" t="s">
        <v>751</v>
      </c>
    </row>
    <row r="250" spans="1:23" x14ac:dyDescent="0.3">
      <c r="A250" s="7" t="s">
        <v>731</v>
      </c>
      <c r="B250" s="8" t="s">
        <v>282</v>
      </c>
      <c r="C250" s="8" t="s">
        <v>732</v>
      </c>
      <c r="D250" s="8" t="s">
        <v>752</v>
      </c>
      <c r="E250" s="8">
        <v>7688</v>
      </c>
      <c r="F250" s="9">
        <v>3</v>
      </c>
      <c r="G250" s="10">
        <v>10</v>
      </c>
      <c r="H250" s="10">
        <v>30</v>
      </c>
      <c r="I250" s="8" t="s">
        <v>1376</v>
      </c>
      <c r="J250" s="8" t="s">
        <v>1377</v>
      </c>
      <c r="K250" s="8" t="s">
        <v>492</v>
      </c>
      <c r="L250" s="8" t="s">
        <v>516</v>
      </c>
      <c r="M250" s="8" t="s">
        <v>494</v>
      </c>
      <c r="N250" s="8" t="s">
        <v>495</v>
      </c>
      <c r="O250" s="8" t="s">
        <v>285</v>
      </c>
      <c r="P250" s="8" t="s">
        <v>577</v>
      </c>
      <c r="Q250" s="11">
        <v>369</v>
      </c>
      <c r="R250" s="11">
        <v>11070</v>
      </c>
      <c r="S250" s="9">
        <v>2</v>
      </c>
      <c r="T250" s="8" t="s">
        <v>79</v>
      </c>
      <c r="U250" s="9">
        <v>3</v>
      </c>
      <c r="V250" s="8" t="s">
        <v>753</v>
      </c>
      <c r="W250" s="8" t="s">
        <v>742</v>
      </c>
    </row>
    <row r="251" spans="1:23" x14ac:dyDescent="0.3">
      <c r="A251" s="2" t="s">
        <v>731</v>
      </c>
      <c r="B251" s="3" t="s">
        <v>282</v>
      </c>
      <c r="C251" s="3" t="s">
        <v>732</v>
      </c>
      <c r="D251" s="3" t="s">
        <v>754</v>
      </c>
      <c r="E251" s="3">
        <v>7689</v>
      </c>
      <c r="F251" s="4">
        <v>11</v>
      </c>
      <c r="G251" s="5">
        <v>10</v>
      </c>
      <c r="H251" s="5">
        <v>110</v>
      </c>
      <c r="I251" s="3" t="s">
        <v>1376</v>
      </c>
      <c r="J251" s="3" t="s">
        <v>1377</v>
      </c>
      <c r="K251" s="3" t="s">
        <v>492</v>
      </c>
      <c r="L251" s="3" t="s">
        <v>516</v>
      </c>
      <c r="M251" s="3" t="s">
        <v>494</v>
      </c>
      <c r="N251" s="3" t="s">
        <v>495</v>
      </c>
      <c r="O251" s="3" t="s">
        <v>285</v>
      </c>
      <c r="P251" s="3" t="s">
        <v>577</v>
      </c>
      <c r="Q251" s="6">
        <v>369</v>
      </c>
      <c r="R251" s="6">
        <v>40590</v>
      </c>
      <c r="S251" s="4">
        <v>2</v>
      </c>
      <c r="T251" s="3" t="s">
        <v>79</v>
      </c>
      <c r="U251" s="4">
        <v>11</v>
      </c>
      <c r="V251" s="3" t="s">
        <v>755</v>
      </c>
      <c r="W251" s="3" t="s">
        <v>738</v>
      </c>
    </row>
    <row r="252" spans="1:23" x14ac:dyDescent="0.3">
      <c r="A252" s="7" t="s">
        <v>756</v>
      </c>
      <c r="B252" s="8" t="s">
        <v>282</v>
      </c>
      <c r="C252" s="8" t="s">
        <v>757</v>
      </c>
      <c r="D252" s="8" t="s">
        <v>758</v>
      </c>
      <c r="E252" s="8">
        <v>129048</v>
      </c>
      <c r="F252" s="9">
        <v>9</v>
      </c>
      <c r="G252" s="10">
        <v>15</v>
      </c>
      <c r="H252" s="10">
        <v>135</v>
      </c>
      <c r="I252" s="8" t="s">
        <v>1376</v>
      </c>
      <c r="J252" s="8" t="s">
        <v>1377</v>
      </c>
      <c r="K252" s="8" t="s">
        <v>492</v>
      </c>
      <c r="L252" s="8" t="s">
        <v>516</v>
      </c>
      <c r="M252" s="8" t="s">
        <v>494</v>
      </c>
      <c r="N252" s="8" t="s">
        <v>495</v>
      </c>
      <c r="O252" s="8" t="s">
        <v>285</v>
      </c>
      <c r="P252" s="8">
        <v>0</v>
      </c>
      <c r="Q252" s="11">
        <v>295</v>
      </c>
      <c r="R252" s="11">
        <v>39825</v>
      </c>
      <c r="S252" s="9">
        <v>490</v>
      </c>
      <c r="T252" s="8" t="s">
        <v>36</v>
      </c>
      <c r="U252" s="9">
        <v>9</v>
      </c>
      <c r="V252" s="8" t="s">
        <v>759</v>
      </c>
      <c r="W252" s="8" t="s">
        <v>760</v>
      </c>
    </row>
    <row r="253" spans="1:23" x14ac:dyDescent="0.3">
      <c r="A253" s="12" t="s">
        <v>761</v>
      </c>
      <c r="B253" s="13" t="s">
        <v>282</v>
      </c>
      <c r="C253" s="13" t="s">
        <v>762</v>
      </c>
      <c r="D253" s="13" t="s">
        <v>284</v>
      </c>
      <c r="E253" s="13">
        <v>130273</v>
      </c>
      <c r="F253" s="14">
        <v>11</v>
      </c>
      <c r="G253" s="15">
        <v>15</v>
      </c>
      <c r="H253" s="15">
        <v>165</v>
      </c>
      <c r="I253" s="13" t="s">
        <v>1376</v>
      </c>
      <c r="J253" s="13" t="s">
        <v>1377</v>
      </c>
      <c r="K253" s="13" t="s">
        <v>492</v>
      </c>
      <c r="L253" s="13" t="s">
        <v>516</v>
      </c>
      <c r="M253" s="13" t="s">
        <v>494</v>
      </c>
      <c r="N253" s="13" t="s">
        <v>495</v>
      </c>
      <c r="O253" s="13" t="s">
        <v>285</v>
      </c>
      <c r="P253" s="13">
        <v>0</v>
      </c>
      <c r="Q253" s="16">
        <v>295</v>
      </c>
      <c r="R253" s="16">
        <v>48675</v>
      </c>
      <c r="S253" s="14">
        <v>482</v>
      </c>
      <c r="T253" s="13" t="s">
        <v>36</v>
      </c>
      <c r="U253" s="14">
        <v>11</v>
      </c>
      <c r="V253" s="13" t="s">
        <v>763</v>
      </c>
      <c r="W253" s="13"/>
    </row>
    <row r="254" spans="1:23" x14ac:dyDescent="0.3">
      <c r="A254" s="7" t="s">
        <v>764</v>
      </c>
      <c r="B254" s="8" t="s">
        <v>282</v>
      </c>
      <c r="C254" s="8" t="s">
        <v>765</v>
      </c>
      <c r="D254" s="8" t="s">
        <v>766</v>
      </c>
      <c r="E254" s="8">
        <v>133878</v>
      </c>
      <c r="F254" s="9">
        <v>26</v>
      </c>
      <c r="G254" s="10">
        <v>13.6</v>
      </c>
      <c r="H254" s="10">
        <v>353.6</v>
      </c>
      <c r="I254" s="8" t="s">
        <v>1378</v>
      </c>
      <c r="J254" s="8" t="s">
        <v>567</v>
      </c>
      <c r="K254" s="8" t="s">
        <v>565</v>
      </c>
      <c r="L254" s="8" t="s">
        <v>566</v>
      </c>
      <c r="M254" s="8" t="s">
        <v>567</v>
      </c>
      <c r="N254" s="8" t="s">
        <v>495</v>
      </c>
      <c r="O254" s="8" t="s">
        <v>285</v>
      </c>
      <c r="P254" s="8">
        <v>0</v>
      </c>
      <c r="Q254" s="11">
        <v>1380</v>
      </c>
      <c r="R254" s="11">
        <v>487968</v>
      </c>
      <c r="S254" s="9">
        <v>452</v>
      </c>
      <c r="T254" s="8" t="s">
        <v>36</v>
      </c>
      <c r="U254" s="9">
        <v>26</v>
      </c>
      <c r="V254" s="8" t="s">
        <v>767</v>
      </c>
      <c r="W254" s="8" t="s">
        <v>768</v>
      </c>
    </row>
    <row r="255" spans="1:23" x14ac:dyDescent="0.3">
      <c r="A255" s="2" t="s">
        <v>769</v>
      </c>
      <c r="B255" s="3" t="s">
        <v>282</v>
      </c>
      <c r="C255" s="3" t="s">
        <v>770</v>
      </c>
      <c r="D255" s="3" t="s">
        <v>771</v>
      </c>
      <c r="E255" s="3">
        <v>134478</v>
      </c>
      <c r="F255" s="4">
        <v>5</v>
      </c>
      <c r="G255" s="5">
        <v>13.6</v>
      </c>
      <c r="H255" s="5">
        <v>68</v>
      </c>
      <c r="I255" s="3" t="s">
        <v>1378</v>
      </c>
      <c r="J255" s="3" t="s">
        <v>567</v>
      </c>
      <c r="K255" s="3" t="s">
        <v>565</v>
      </c>
      <c r="L255" s="3" t="s">
        <v>566</v>
      </c>
      <c r="M255" s="3" t="s">
        <v>567</v>
      </c>
      <c r="N255" s="3" t="s">
        <v>495</v>
      </c>
      <c r="O255" s="3" t="s">
        <v>285</v>
      </c>
      <c r="P255" s="3">
        <v>0</v>
      </c>
      <c r="Q255" s="6">
        <v>1380</v>
      </c>
      <c r="R255" s="6">
        <v>93840</v>
      </c>
      <c r="S255" s="4">
        <v>447</v>
      </c>
      <c r="T255" s="3" t="s">
        <v>36</v>
      </c>
      <c r="U255" s="4">
        <v>5</v>
      </c>
      <c r="V255" s="3" t="s">
        <v>772</v>
      </c>
      <c r="W255" s="3" t="s">
        <v>773</v>
      </c>
    </row>
    <row r="256" spans="1:23" x14ac:dyDescent="0.3">
      <c r="A256" s="7" t="s">
        <v>774</v>
      </c>
      <c r="B256" s="8" t="s">
        <v>282</v>
      </c>
      <c r="C256" s="8" t="s">
        <v>775</v>
      </c>
      <c r="D256" s="8" t="s">
        <v>284</v>
      </c>
      <c r="E256" s="8">
        <v>134856</v>
      </c>
      <c r="F256" s="9">
        <v>4</v>
      </c>
      <c r="G256" s="10">
        <v>13.6</v>
      </c>
      <c r="H256" s="10">
        <v>54.4</v>
      </c>
      <c r="I256" s="8" t="s">
        <v>1378</v>
      </c>
      <c r="J256" s="8" t="s">
        <v>567</v>
      </c>
      <c r="K256" s="8" t="s">
        <v>565</v>
      </c>
      <c r="L256" s="8" t="s">
        <v>566</v>
      </c>
      <c r="M256" s="8" t="s">
        <v>567</v>
      </c>
      <c r="N256" s="8" t="s">
        <v>495</v>
      </c>
      <c r="O256" s="8" t="s">
        <v>285</v>
      </c>
      <c r="P256" s="8">
        <v>0</v>
      </c>
      <c r="Q256" s="11">
        <v>1380</v>
      </c>
      <c r="R256" s="11">
        <v>75072</v>
      </c>
      <c r="S256" s="9">
        <v>444</v>
      </c>
      <c r="T256" s="8" t="s">
        <v>36</v>
      </c>
      <c r="U256" s="9">
        <v>4</v>
      </c>
      <c r="V256" s="8" t="e">
        <f>VLOOKUP(E256,'[1]Consolidated Stock'!$E:$V,18,0)</f>
        <v>#N/A</v>
      </c>
      <c r="W256" s="8" t="s">
        <v>363</v>
      </c>
    </row>
    <row r="257" spans="1:23" x14ac:dyDescent="0.3">
      <c r="A257" s="2" t="s">
        <v>776</v>
      </c>
      <c r="B257" s="3" t="s">
        <v>282</v>
      </c>
      <c r="C257" s="3" t="s">
        <v>777</v>
      </c>
      <c r="D257" s="3" t="s">
        <v>284</v>
      </c>
      <c r="E257" s="3">
        <v>137391</v>
      </c>
      <c r="F257" s="4">
        <v>35</v>
      </c>
      <c r="G257" s="5">
        <v>11.34</v>
      </c>
      <c r="H257" s="5">
        <v>396.9</v>
      </c>
      <c r="I257" s="3" t="s">
        <v>1378</v>
      </c>
      <c r="J257" s="3" t="s">
        <v>1379</v>
      </c>
      <c r="K257" s="3" t="s">
        <v>778</v>
      </c>
      <c r="L257" s="3" t="s">
        <v>779</v>
      </c>
      <c r="M257" s="3" t="s">
        <v>780</v>
      </c>
      <c r="N257" s="3" t="s">
        <v>495</v>
      </c>
      <c r="O257" s="3" t="s">
        <v>285</v>
      </c>
      <c r="P257" s="3">
        <v>0</v>
      </c>
      <c r="Q257" s="6">
        <v>1290</v>
      </c>
      <c r="R257" s="6">
        <v>512001</v>
      </c>
      <c r="S257" s="4">
        <v>422</v>
      </c>
      <c r="T257" s="3" t="s">
        <v>36</v>
      </c>
      <c r="U257" s="4">
        <v>35</v>
      </c>
      <c r="V257" s="3" t="e">
        <f>VLOOKUP(E257,'[1]Consolidated Stock'!$E:$V,18,0)</f>
        <v>#N/A</v>
      </c>
      <c r="W257" s="3" t="s">
        <v>444</v>
      </c>
    </row>
    <row r="258" spans="1:23" x14ac:dyDescent="0.3">
      <c r="A258" s="7" t="s">
        <v>781</v>
      </c>
      <c r="B258" s="8" t="s">
        <v>282</v>
      </c>
      <c r="C258" s="8" t="s">
        <v>782</v>
      </c>
      <c r="D258" s="8" t="s">
        <v>284</v>
      </c>
      <c r="E258" s="8">
        <v>141756</v>
      </c>
      <c r="F258" s="9">
        <v>6</v>
      </c>
      <c r="G258" s="10">
        <v>15</v>
      </c>
      <c r="H258" s="10">
        <v>90</v>
      </c>
      <c r="I258" s="8" t="s">
        <v>1376</v>
      </c>
      <c r="J258" s="8" t="s">
        <v>1377</v>
      </c>
      <c r="K258" s="8" t="s">
        <v>492</v>
      </c>
      <c r="L258" s="8" t="s">
        <v>516</v>
      </c>
      <c r="M258" s="8" t="s">
        <v>494</v>
      </c>
      <c r="N258" s="8" t="s">
        <v>495</v>
      </c>
      <c r="O258" s="8" t="s">
        <v>285</v>
      </c>
      <c r="P258" s="8">
        <v>0</v>
      </c>
      <c r="Q258" s="11">
        <v>288</v>
      </c>
      <c r="R258" s="11">
        <v>25920</v>
      </c>
      <c r="S258" s="9">
        <v>347</v>
      </c>
      <c r="T258" s="8" t="s">
        <v>53</v>
      </c>
      <c r="U258" s="9">
        <v>6</v>
      </c>
      <c r="V258" s="8" t="e">
        <f>VLOOKUP(E258,'[1]Consolidated Stock'!$E:$V,18,0)</f>
        <v>#N/A</v>
      </c>
      <c r="W258" s="8" t="s">
        <v>374</v>
      </c>
    </row>
    <row r="259" spans="1:23" x14ac:dyDescent="0.3">
      <c r="A259" s="2" t="s">
        <v>783</v>
      </c>
      <c r="B259" s="3" t="s">
        <v>282</v>
      </c>
      <c r="C259" s="3" t="s">
        <v>784</v>
      </c>
      <c r="D259" s="3" t="s">
        <v>785</v>
      </c>
      <c r="E259" s="3">
        <v>149845</v>
      </c>
      <c r="F259" s="4">
        <v>5</v>
      </c>
      <c r="G259" s="5">
        <v>13.6</v>
      </c>
      <c r="H259" s="5">
        <v>68</v>
      </c>
      <c r="I259" s="3" t="s">
        <v>1378</v>
      </c>
      <c r="J259" s="3" t="s">
        <v>567</v>
      </c>
      <c r="K259" s="3" t="s">
        <v>565</v>
      </c>
      <c r="L259" s="3" t="s">
        <v>786</v>
      </c>
      <c r="M259" s="3" t="s">
        <v>567</v>
      </c>
      <c r="N259" s="3" t="s">
        <v>495</v>
      </c>
      <c r="O259" s="3" t="s">
        <v>285</v>
      </c>
      <c r="P259" s="3">
        <v>0</v>
      </c>
      <c r="Q259" s="6">
        <v>1380</v>
      </c>
      <c r="R259" s="6">
        <v>93840</v>
      </c>
      <c r="S259" s="4">
        <v>311</v>
      </c>
      <c r="T259" s="3" t="s">
        <v>53</v>
      </c>
      <c r="U259" s="4">
        <v>5</v>
      </c>
      <c r="V259" s="3" t="s">
        <v>787</v>
      </c>
      <c r="W259" s="3" t="s">
        <v>788</v>
      </c>
    </row>
    <row r="260" spans="1:23" x14ac:dyDescent="0.3">
      <c r="A260" s="7" t="s">
        <v>789</v>
      </c>
      <c r="B260" s="8" t="s">
        <v>282</v>
      </c>
      <c r="C260" s="8" t="s">
        <v>790</v>
      </c>
      <c r="D260" s="8" t="s">
        <v>284</v>
      </c>
      <c r="E260" s="8">
        <v>151105</v>
      </c>
      <c r="F260" s="9">
        <v>3</v>
      </c>
      <c r="G260" s="10">
        <v>11.34</v>
      </c>
      <c r="H260" s="10">
        <v>34.020000000000003</v>
      </c>
      <c r="I260" s="8" t="s">
        <v>1378</v>
      </c>
      <c r="J260" s="8" t="s">
        <v>1379</v>
      </c>
      <c r="K260" s="8" t="s">
        <v>717</v>
      </c>
      <c r="L260" s="8" t="s">
        <v>791</v>
      </c>
      <c r="M260" s="8" t="s">
        <v>792</v>
      </c>
      <c r="N260" s="8" t="s">
        <v>495</v>
      </c>
      <c r="O260" s="8" t="s">
        <v>285</v>
      </c>
      <c r="P260" s="8">
        <v>0</v>
      </c>
      <c r="Q260" s="11">
        <v>1500</v>
      </c>
      <c r="R260" s="11">
        <v>51030</v>
      </c>
      <c r="S260" s="9">
        <v>299</v>
      </c>
      <c r="T260" s="8" t="s">
        <v>53</v>
      </c>
      <c r="U260" s="9">
        <v>3</v>
      </c>
      <c r="V260" s="8" t="e">
        <f>VLOOKUP(E260,'[1]Consolidated Stock'!$E:$V,18,0)</f>
        <v>#N/A</v>
      </c>
      <c r="W260" s="8" t="s">
        <v>479</v>
      </c>
    </row>
    <row r="261" spans="1:23" x14ac:dyDescent="0.3">
      <c r="A261" s="2" t="s">
        <v>793</v>
      </c>
      <c r="B261" s="3" t="s">
        <v>282</v>
      </c>
      <c r="C261" s="3" t="s">
        <v>794</v>
      </c>
      <c r="D261" s="3" t="s">
        <v>795</v>
      </c>
      <c r="E261" s="3">
        <v>151709</v>
      </c>
      <c r="F261" s="4">
        <v>1</v>
      </c>
      <c r="G261" s="5">
        <v>11.34</v>
      </c>
      <c r="H261" s="5">
        <v>11.34</v>
      </c>
      <c r="I261" s="3" t="s">
        <v>1378</v>
      </c>
      <c r="J261" s="3" t="s">
        <v>1379</v>
      </c>
      <c r="K261" s="3" t="s">
        <v>505</v>
      </c>
      <c r="L261" s="3" t="s">
        <v>506</v>
      </c>
      <c r="M261" s="3" t="s">
        <v>507</v>
      </c>
      <c r="N261" s="3" t="s">
        <v>495</v>
      </c>
      <c r="O261" s="3" t="s">
        <v>285</v>
      </c>
      <c r="P261" s="3">
        <v>0</v>
      </c>
      <c r="Q261" s="6">
        <v>900</v>
      </c>
      <c r="R261" s="6">
        <v>10206</v>
      </c>
      <c r="S261" s="4">
        <v>294</v>
      </c>
      <c r="T261" s="3" t="s">
        <v>53</v>
      </c>
      <c r="U261" s="4">
        <v>1</v>
      </c>
      <c r="V261" s="3" t="s">
        <v>796</v>
      </c>
      <c r="W261" s="3" t="s">
        <v>797</v>
      </c>
    </row>
    <row r="262" spans="1:23" x14ac:dyDescent="0.3">
      <c r="A262" s="7" t="s">
        <v>798</v>
      </c>
      <c r="B262" s="8" t="s">
        <v>282</v>
      </c>
      <c r="C262" s="8" t="s">
        <v>799</v>
      </c>
      <c r="D262" s="8" t="s">
        <v>800</v>
      </c>
      <c r="E262" s="8">
        <v>160135</v>
      </c>
      <c r="F262" s="9">
        <v>23</v>
      </c>
      <c r="G262" s="10">
        <v>4.54</v>
      </c>
      <c r="H262" s="10">
        <v>104.42</v>
      </c>
      <c r="I262" s="8" t="s">
        <v>1381</v>
      </c>
      <c r="J262" s="8" t="s">
        <v>1382</v>
      </c>
      <c r="K262" s="8" t="s">
        <v>801</v>
      </c>
      <c r="L262" s="8" t="s">
        <v>801</v>
      </c>
      <c r="M262" s="8" t="s">
        <v>802</v>
      </c>
      <c r="N262" s="8" t="s">
        <v>495</v>
      </c>
      <c r="O262" s="8" t="s">
        <v>285</v>
      </c>
      <c r="P262" s="8" t="s">
        <v>575</v>
      </c>
      <c r="Q262" s="11">
        <v>890</v>
      </c>
      <c r="R262" s="11">
        <v>92933.8</v>
      </c>
      <c r="S262" s="9">
        <v>228</v>
      </c>
      <c r="T262" s="8" t="s">
        <v>53</v>
      </c>
      <c r="U262" s="9">
        <v>23</v>
      </c>
      <c r="V262" s="8" t="s">
        <v>803</v>
      </c>
      <c r="W262" s="8" t="s">
        <v>804</v>
      </c>
    </row>
    <row r="263" spans="1:23" x14ac:dyDescent="0.3">
      <c r="A263" s="2" t="s">
        <v>805</v>
      </c>
      <c r="B263" s="3" t="s">
        <v>282</v>
      </c>
      <c r="C263" s="3" t="s">
        <v>806</v>
      </c>
      <c r="D263" s="3" t="s">
        <v>284</v>
      </c>
      <c r="E263" s="3">
        <v>162094</v>
      </c>
      <c r="F263" s="4">
        <v>389</v>
      </c>
      <c r="G263" s="5">
        <v>5</v>
      </c>
      <c r="H263" s="5">
        <v>1945</v>
      </c>
      <c r="I263" s="3" t="s">
        <v>1366</v>
      </c>
      <c r="J263" s="3" t="s">
        <v>451</v>
      </c>
      <c r="K263" s="3" t="s">
        <v>807</v>
      </c>
      <c r="L263" s="3" t="s">
        <v>808</v>
      </c>
      <c r="M263" s="3" t="s">
        <v>809</v>
      </c>
      <c r="N263" s="3" t="s">
        <v>495</v>
      </c>
      <c r="O263" s="3" t="s">
        <v>285</v>
      </c>
      <c r="P263" s="3" t="s">
        <v>50</v>
      </c>
      <c r="Q263" s="6">
        <v>1089.42</v>
      </c>
      <c r="R263" s="6">
        <v>2118921.9</v>
      </c>
      <c r="S263" s="4">
        <v>209</v>
      </c>
      <c r="T263" s="3" t="s">
        <v>53</v>
      </c>
      <c r="U263" s="4">
        <v>389</v>
      </c>
      <c r="V263" s="3" t="e">
        <f>VLOOKUP(E263,'[1]Consolidated Stock'!$E:$V,18,0)</f>
        <v>#N/A</v>
      </c>
      <c r="W263" s="3" t="s">
        <v>434</v>
      </c>
    </row>
    <row r="264" spans="1:23" x14ac:dyDescent="0.3">
      <c r="A264" s="7" t="s">
        <v>805</v>
      </c>
      <c r="B264" s="8" t="s">
        <v>282</v>
      </c>
      <c r="C264" s="8" t="s">
        <v>806</v>
      </c>
      <c r="D264" s="8" t="s">
        <v>284</v>
      </c>
      <c r="E264" s="8">
        <v>162095</v>
      </c>
      <c r="F264" s="9">
        <v>572</v>
      </c>
      <c r="G264" s="10">
        <v>5</v>
      </c>
      <c r="H264" s="10">
        <v>2860</v>
      </c>
      <c r="I264" s="8" t="s">
        <v>1366</v>
      </c>
      <c r="J264" s="8" t="s">
        <v>369</v>
      </c>
      <c r="K264" s="8" t="s">
        <v>810</v>
      </c>
      <c r="L264" s="8" t="s">
        <v>808</v>
      </c>
      <c r="M264" s="8" t="s">
        <v>811</v>
      </c>
      <c r="N264" s="8" t="s">
        <v>495</v>
      </c>
      <c r="O264" s="8" t="s">
        <v>285</v>
      </c>
      <c r="P264" s="8" t="s">
        <v>50</v>
      </c>
      <c r="Q264" s="11">
        <v>900.77</v>
      </c>
      <c r="R264" s="11">
        <v>2576202.2000000002</v>
      </c>
      <c r="S264" s="9">
        <v>209</v>
      </c>
      <c r="T264" s="8" t="s">
        <v>53</v>
      </c>
      <c r="U264" s="9">
        <v>572</v>
      </c>
      <c r="V264" s="8" t="e">
        <f>VLOOKUP(E264,'[1]Consolidated Stock'!$E:$V,18,0)</f>
        <v>#N/A</v>
      </c>
      <c r="W264" s="8" t="s">
        <v>439</v>
      </c>
    </row>
    <row r="265" spans="1:23" x14ac:dyDescent="0.3">
      <c r="A265" s="2" t="s">
        <v>812</v>
      </c>
      <c r="B265" s="3" t="s">
        <v>282</v>
      </c>
      <c r="C265" s="3" t="s">
        <v>813</v>
      </c>
      <c r="D265" s="3" t="s">
        <v>284</v>
      </c>
      <c r="E265" s="3">
        <v>162411</v>
      </c>
      <c r="F265" s="4">
        <v>6</v>
      </c>
      <c r="G265" s="5">
        <v>15</v>
      </c>
      <c r="H265" s="5">
        <v>90</v>
      </c>
      <c r="I265" s="3" t="s">
        <v>1376</v>
      </c>
      <c r="J265" s="3" t="s">
        <v>1377</v>
      </c>
      <c r="K265" s="3" t="s">
        <v>492</v>
      </c>
      <c r="L265" s="3" t="s">
        <v>516</v>
      </c>
      <c r="M265" s="3" t="s">
        <v>494</v>
      </c>
      <c r="N265" s="3" t="s">
        <v>495</v>
      </c>
      <c r="O265" s="3" t="s">
        <v>285</v>
      </c>
      <c r="P265" s="3">
        <v>0</v>
      </c>
      <c r="Q265" s="6">
        <v>420</v>
      </c>
      <c r="R265" s="6">
        <v>37800</v>
      </c>
      <c r="S265" s="4">
        <v>217</v>
      </c>
      <c r="T265" s="3" t="s">
        <v>53</v>
      </c>
      <c r="U265" s="4">
        <v>6</v>
      </c>
      <c r="V265" s="3" t="e">
        <f>VLOOKUP(E265,'[1]Consolidated Stock'!$E:$V,18,0)</f>
        <v>#N/A</v>
      </c>
      <c r="W265" s="3" t="s">
        <v>814</v>
      </c>
    </row>
    <row r="266" spans="1:23" x14ac:dyDescent="0.3">
      <c r="A266" s="7" t="s">
        <v>815</v>
      </c>
      <c r="B266" s="8" t="s">
        <v>282</v>
      </c>
      <c r="C266" s="8" t="s">
        <v>816</v>
      </c>
      <c r="D266" s="8" t="s">
        <v>817</v>
      </c>
      <c r="E266" s="8">
        <v>165912</v>
      </c>
      <c r="F266" s="9">
        <v>10</v>
      </c>
      <c r="G266" s="10">
        <v>5</v>
      </c>
      <c r="H266" s="10">
        <v>50</v>
      </c>
      <c r="I266" s="8" t="s">
        <v>1366</v>
      </c>
      <c r="J266" s="8" t="s">
        <v>818</v>
      </c>
      <c r="K266" s="8" t="s">
        <v>818</v>
      </c>
      <c r="L266" s="8" t="s">
        <v>819</v>
      </c>
      <c r="M266" s="8" t="s">
        <v>820</v>
      </c>
      <c r="N266" s="8" t="s">
        <v>495</v>
      </c>
      <c r="O266" s="8" t="s">
        <v>285</v>
      </c>
      <c r="P266" s="8" t="s">
        <v>372</v>
      </c>
      <c r="Q266" s="11">
        <v>613</v>
      </c>
      <c r="R266" s="11">
        <v>30650</v>
      </c>
      <c r="S266" s="9">
        <v>198</v>
      </c>
      <c r="T266" s="8" t="s">
        <v>53</v>
      </c>
      <c r="U266" s="9">
        <v>10</v>
      </c>
      <c r="V266" s="8" t="s">
        <v>821</v>
      </c>
      <c r="W266" s="8" t="s">
        <v>401</v>
      </c>
    </row>
    <row r="267" spans="1:23" x14ac:dyDescent="0.3">
      <c r="A267" s="2" t="s">
        <v>822</v>
      </c>
      <c r="B267" s="3" t="s">
        <v>282</v>
      </c>
      <c r="C267" s="3" t="s">
        <v>823</v>
      </c>
      <c r="D267" s="3" t="s">
        <v>284</v>
      </c>
      <c r="E267" s="3">
        <v>167915</v>
      </c>
      <c r="F267" s="4">
        <v>52</v>
      </c>
      <c r="G267" s="5">
        <v>7.5</v>
      </c>
      <c r="H267" s="5">
        <v>390</v>
      </c>
      <c r="I267" s="3" t="s">
        <v>1378</v>
      </c>
      <c r="J267" s="3" t="s">
        <v>1379</v>
      </c>
      <c r="K267" s="3" t="s">
        <v>824</v>
      </c>
      <c r="L267" s="3" t="s">
        <v>786</v>
      </c>
      <c r="M267" s="3" t="s">
        <v>825</v>
      </c>
      <c r="N267" s="3" t="s">
        <v>495</v>
      </c>
      <c r="O267" s="3" t="s">
        <v>285</v>
      </c>
      <c r="P267" s="3">
        <v>0</v>
      </c>
      <c r="Q267" s="6">
        <v>2859.54</v>
      </c>
      <c r="R267" s="6">
        <v>1115220.6000000001</v>
      </c>
      <c r="S267" s="4">
        <v>188</v>
      </c>
      <c r="T267" s="3" t="s">
        <v>53</v>
      </c>
      <c r="U267" s="4">
        <v>52</v>
      </c>
      <c r="V267" s="3" t="e">
        <f>VLOOKUP(E267,'[1]Consolidated Stock'!$E:$V,18,0)</f>
        <v>#N/A</v>
      </c>
      <c r="W267" s="3" t="s">
        <v>413</v>
      </c>
    </row>
    <row r="268" spans="1:23" x14ac:dyDescent="0.3">
      <c r="A268" s="7" t="s">
        <v>822</v>
      </c>
      <c r="B268" s="8" t="s">
        <v>282</v>
      </c>
      <c r="C268" s="8" t="s">
        <v>823</v>
      </c>
      <c r="D268" s="8" t="s">
        <v>284</v>
      </c>
      <c r="E268" s="8">
        <v>167916</v>
      </c>
      <c r="F268" s="9">
        <v>52</v>
      </c>
      <c r="G268" s="10">
        <v>7.5</v>
      </c>
      <c r="H268" s="10">
        <v>390</v>
      </c>
      <c r="I268" s="8" t="s">
        <v>1378</v>
      </c>
      <c r="J268" s="8" t="s">
        <v>1379</v>
      </c>
      <c r="K268" s="8" t="s">
        <v>826</v>
      </c>
      <c r="L268" s="8" t="s">
        <v>786</v>
      </c>
      <c r="M268" s="8" t="s">
        <v>827</v>
      </c>
      <c r="N268" s="8" t="s">
        <v>495</v>
      </c>
      <c r="O268" s="8" t="s">
        <v>285</v>
      </c>
      <c r="P268" s="8">
        <v>0</v>
      </c>
      <c r="Q268" s="11">
        <v>2859.54</v>
      </c>
      <c r="R268" s="11">
        <v>1115220.6000000001</v>
      </c>
      <c r="S268" s="9">
        <v>188</v>
      </c>
      <c r="T268" s="8" t="s">
        <v>53</v>
      </c>
      <c r="U268" s="9">
        <v>52</v>
      </c>
      <c r="V268" s="8" t="e">
        <f>VLOOKUP(E268,'[1]Consolidated Stock'!$E:$V,18,0)</f>
        <v>#N/A</v>
      </c>
      <c r="W268" s="8" t="s">
        <v>394</v>
      </c>
    </row>
    <row r="269" spans="1:23" x14ac:dyDescent="0.3">
      <c r="A269" s="2" t="s">
        <v>822</v>
      </c>
      <c r="B269" s="3" t="s">
        <v>282</v>
      </c>
      <c r="C269" s="3" t="s">
        <v>823</v>
      </c>
      <c r="D269" s="3" t="s">
        <v>284</v>
      </c>
      <c r="E269" s="3">
        <v>167917</v>
      </c>
      <c r="F269" s="4">
        <v>39</v>
      </c>
      <c r="G269" s="5">
        <v>10</v>
      </c>
      <c r="H269" s="5">
        <v>390</v>
      </c>
      <c r="I269" s="3" t="s">
        <v>1378</v>
      </c>
      <c r="J269" s="3" t="s">
        <v>1379</v>
      </c>
      <c r="K269" s="3" t="s">
        <v>828</v>
      </c>
      <c r="L269" s="3" t="s">
        <v>786</v>
      </c>
      <c r="M269" s="3" t="s">
        <v>829</v>
      </c>
      <c r="N269" s="3" t="s">
        <v>495</v>
      </c>
      <c r="O269" s="3" t="s">
        <v>285</v>
      </c>
      <c r="P269" s="3">
        <v>0</v>
      </c>
      <c r="Q269" s="6">
        <v>2461.79</v>
      </c>
      <c r="R269" s="6">
        <v>960098.1</v>
      </c>
      <c r="S269" s="4">
        <v>188</v>
      </c>
      <c r="T269" s="3" t="s">
        <v>53</v>
      </c>
      <c r="U269" s="4">
        <v>39</v>
      </c>
      <c r="V269" s="3" t="e">
        <f>VLOOKUP(E269,'[1]Consolidated Stock'!$E:$V,18,0)</f>
        <v>#N/A</v>
      </c>
      <c r="W269" s="3" t="s">
        <v>409</v>
      </c>
    </row>
    <row r="270" spans="1:23" x14ac:dyDescent="0.3">
      <c r="A270" s="7" t="s">
        <v>822</v>
      </c>
      <c r="B270" s="8" t="s">
        <v>282</v>
      </c>
      <c r="C270" s="8" t="s">
        <v>823</v>
      </c>
      <c r="D270" s="8" t="s">
        <v>284</v>
      </c>
      <c r="E270" s="8">
        <v>167918</v>
      </c>
      <c r="F270" s="9">
        <v>38</v>
      </c>
      <c r="G270" s="10">
        <v>10</v>
      </c>
      <c r="H270" s="10">
        <v>380</v>
      </c>
      <c r="I270" s="8" t="s">
        <v>1378</v>
      </c>
      <c r="J270" s="8" t="s">
        <v>1379</v>
      </c>
      <c r="K270" s="8" t="s">
        <v>830</v>
      </c>
      <c r="L270" s="8" t="s">
        <v>786</v>
      </c>
      <c r="M270" s="8" t="s">
        <v>831</v>
      </c>
      <c r="N270" s="8" t="s">
        <v>495</v>
      </c>
      <c r="O270" s="8" t="s">
        <v>285</v>
      </c>
      <c r="P270" s="8">
        <v>0</v>
      </c>
      <c r="Q270" s="11">
        <v>2461.79</v>
      </c>
      <c r="R270" s="11">
        <v>935480.2</v>
      </c>
      <c r="S270" s="9">
        <v>188</v>
      </c>
      <c r="T270" s="8" t="s">
        <v>53</v>
      </c>
      <c r="U270" s="9">
        <v>38</v>
      </c>
      <c r="V270" s="8" t="e">
        <f>VLOOKUP(E270,'[1]Consolidated Stock'!$E:$V,18,0)</f>
        <v>#N/A</v>
      </c>
      <c r="W270" s="8" t="s">
        <v>410</v>
      </c>
    </row>
    <row r="271" spans="1:23" x14ac:dyDescent="0.3">
      <c r="A271" s="2" t="s">
        <v>822</v>
      </c>
      <c r="B271" s="3" t="s">
        <v>282</v>
      </c>
      <c r="C271" s="3" t="s">
        <v>832</v>
      </c>
      <c r="D271" s="3" t="s">
        <v>284</v>
      </c>
      <c r="E271" s="3">
        <v>167919</v>
      </c>
      <c r="F271" s="4">
        <v>58</v>
      </c>
      <c r="G271" s="5">
        <v>11.34</v>
      </c>
      <c r="H271" s="5">
        <v>657.72</v>
      </c>
      <c r="I271" s="3" t="s">
        <v>1378</v>
      </c>
      <c r="J271" s="3" t="s">
        <v>1379</v>
      </c>
      <c r="K271" s="3" t="s">
        <v>712</v>
      </c>
      <c r="L271" s="3" t="s">
        <v>786</v>
      </c>
      <c r="M271" s="3" t="s">
        <v>713</v>
      </c>
      <c r="N271" s="3" t="s">
        <v>495</v>
      </c>
      <c r="O271" s="3" t="s">
        <v>285</v>
      </c>
      <c r="P271" s="3">
        <v>0</v>
      </c>
      <c r="Q271" s="6">
        <v>1820.3</v>
      </c>
      <c r="R271" s="6">
        <v>1197247.716</v>
      </c>
      <c r="S271" s="4">
        <v>188</v>
      </c>
      <c r="T271" s="3" t="s">
        <v>53</v>
      </c>
      <c r="U271" s="4">
        <v>58</v>
      </c>
      <c r="V271" s="3" t="e">
        <f>VLOOKUP(E271,'[1]Consolidated Stock'!$E:$V,18,0)</f>
        <v>#N/A</v>
      </c>
      <c r="W271" s="3" t="s">
        <v>404</v>
      </c>
    </row>
    <row r="272" spans="1:23" x14ac:dyDescent="0.3">
      <c r="A272" s="7" t="s">
        <v>822</v>
      </c>
      <c r="B272" s="8" t="s">
        <v>282</v>
      </c>
      <c r="C272" s="8" t="s">
        <v>832</v>
      </c>
      <c r="D272" s="8" t="s">
        <v>284</v>
      </c>
      <c r="E272" s="8">
        <v>167920</v>
      </c>
      <c r="F272" s="9">
        <v>142</v>
      </c>
      <c r="G272" s="10">
        <v>11.34</v>
      </c>
      <c r="H272" s="10">
        <v>1610.28</v>
      </c>
      <c r="I272" s="8" t="s">
        <v>1378</v>
      </c>
      <c r="J272" s="8" t="s">
        <v>1379</v>
      </c>
      <c r="K272" s="8" t="s">
        <v>833</v>
      </c>
      <c r="L272" s="8" t="s">
        <v>786</v>
      </c>
      <c r="M272" s="8" t="s">
        <v>834</v>
      </c>
      <c r="N272" s="8" t="s">
        <v>495</v>
      </c>
      <c r="O272" s="8" t="s">
        <v>285</v>
      </c>
      <c r="P272" s="8">
        <v>0</v>
      </c>
      <c r="Q272" s="11">
        <v>1964.45</v>
      </c>
      <c r="R272" s="11">
        <v>3163314.5460000001</v>
      </c>
      <c r="S272" s="9">
        <v>188</v>
      </c>
      <c r="T272" s="8" t="s">
        <v>53</v>
      </c>
      <c r="U272" s="9">
        <v>142</v>
      </c>
      <c r="V272" s="8" t="e">
        <f>VLOOKUP(E272,'[1]Consolidated Stock'!$E:$V,18,0)</f>
        <v>#N/A</v>
      </c>
      <c r="W272" s="8" t="s">
        <v>406</v>
      </c>
    </row>
    <row r="273" spans="1:23" x14ac:dyDescent="0.3">
      <c r="A273" s="2" t="s">
        <v>835</v>
      </c>
      <c r="B273" s="3" t="s">
        <v>282</v>
      </c>
      <c r="C273" s="3" t="s">
        <v>836</v>
      </c>
      <c r="D273" s="3" t="s">
        <v>284</v>
      </c>
      <c r="E273" s="3">
        <v>175580</v>
      </c>
      <c r="F273" s="4">
        <v>100</v>
      </c>
      <c r="G273" s="5">
        <v>4.54</v>
      </c>
      <c r="H273" s="5">
        <v>454</v>
      </c>
      <c r="I273" s="3" t="s">
        <v>1381</v>
      </c>
      <c r="J273" s="3" t="s">
        <v>1382</v>
      </c>
      <c r="K273" s="3" t="s">
        <v>801</v>
      </c>
      <c r="L273" s="3" t="s">
        <v>801</v>
      </c>
      <c r="M273" s="3" t="s">
        <v>802</v>
      </c>
      <c r="N273" s="3" t="s">
        <v>495</v>
      </c>
      <c r="O273" s="3" t="s">
        <v>285</v>
      </c>
      <c r="P273" s="3" t="s">
        <v>575</v>
      </c>
      <c r="Q273" s="6">
        <v>890</v>
      </c>
      <c r="R273" s="6">
        <v>404060</v>
      </c>
      <c r="S273" s="4">
        <v>146</v>
      </c>
      <c r="T273" s="3" t="s">
        <v>79</v>
      </c>
      <c r="U273" s="4">
        <v>100</v>
      </c>
      <c r="V273" s="3" t="e">
        <f>VLOOKUP(E273,'[1]Consolidated Stock'!$E:$V,18,0)</f>
        <v>#N/A</v>
      </c>
      <c r="W273" s="3" t="s">
        <v>837</v>
      </c>
    </row>
    <row r="274" spans="1:23" x14ac:dyDescent="0.3">
      <c r="A274" s="7" t="s">
        <v>838</v>
      </c>
      <c r="B274" s="8" t="s">
        <v>282</v>
      </c>
      <c r="C274" s="8" t="s">
        <v>839</v>
      </c>
      <c r="D274" s="8" t="s">
        <v>840</v>
      </c>
      <c r="E274" s="8">
        <v>177590</v>
      </c>
      <c r="F274" s="9">
        <v>108</v>
      </c>
      <c r="G274" s="10">
        <v>11.34</v>
      </c>
      <c r="H274" s="10">
        <v>1224.72</v>
      </c>
      <c r="I274" s="8" t="s">
        <v>1384</v>
      </c>
      <c r="J274" s="8" t="s">
        <v>1385</v>
      </c>
      <c r="K274" s="8" t="s">
        <v>626</v>
      </c>
      <c r="L274" s="8" t="s">
        <v>627</v>
      </c>
      <c r="M274" s="8" t="s">
        <v>551</v>
      </c>
      <c r="N274" s="8" t="s">
        <v>495</v>
      </c>
      <c r="O274" s="8" t="s">
        <v>285</v>
      </c>
      <c r="P274" s="8" t="s">
        <v>841</v>
      </c>
      <c r="Q274" s="11">
        <v>1040</v>
      </c>
      <c r="R274" s="11">
        <v>1273708.8</v>
      </c>
      <c r="S274" s="9">
        <v>130</v>
      </c>
      <c r="T274" s="8" t="s">
        <v>79</v>
      </c>
      <c r="U274" s="9">
        <v>108</v>
      </c>
      <c r="V274" s="8" t="s">
        <v>842</v>
      </c>
      <c r="W274" s="8" t="s">
        <v>37</v>
      </c>
    </row>
    <row r="275" spans="1:23" x14ac:dyDescent="0.3">
      <c r="A275" s="2" t="s">
        <v>838</v>
      </c>
      <c r="B275" s="3" t="s">
        <v>282</v>
      </c>
      <c r="C275" s="3" t="s">
        <v>839</v>
      </c>
      <c r="D275" s="3" t="s">
        <v>840</v>
      </c>
      <c r="E275" s="3">
        <v>177590</v>
      </c>
      <c r="F275" s="4">
        <v>94</v>
      </c>
      <c r="G275" s="5">
        <v>11.34</v>
      </c>
      <c r="H275" s="5">
        <v>1065.96</v>
      </c>
      <c r="I275" s="3" t="s">
        <v>1384</v>
      </c>
      <c r="J275" s="3" t="s">
        <v>1385</v>
      </c>
      <c r="K275" s="3" t="s">
        <v>626</v>
      </c>
      <c r="L275" s="3" t="s">
        <v>627</v>
      </c>
      <c r="M275" s="3" t="s">
        <v>551</v>
      </c>
      <c r="N275" s="3" t="s">
        <v>495</v>
      </c>
      <c r="O275" s="3" t="s">
        <v>285</v>
      </c>
      <c r="P275" s="3" t="s">
        <v>841</v>
      </c>
      <c r="Q275" s="6">
        <v>1040</v>
      </c>
      <c r="R275" s="6">
        <v>1108598.3999999999</v>
      </c>
      <c r="S275" s="4">
        <v>130</v>
      </c>
      <c r="T275" s="3" t="s">
        <v>79</v>
      </c>
      <c r="U275" s="4">
        <v>94</v>
      </c>
      <c r="V275" s="3" t="s">
        <v>843</v>
      </c>
      <c r="W275" s="3" t="s">
        <v>1415</v>
      </c>
    </row>
    <row r="276" spans="1:23" x14ac:dyDescent="0.3">
      <c r="A276" s="7" t="s">
        <v>838</v>
      </c>
      <c r="B276" s="8" t="s">
        <v>282</v>
      </c>
      <c r="C276" s="8" t="s">
        <v>839</v>
      </c>
      <c r="D276" s="8" t="s">
        <v>840</v>
      </c>
      <c r="E276" s="8">
        <v>177590</v>
      </c>
      <c r="F276" s="9">
        <v>77</v>
      </c>
      <c r="G276" s="10">
        <v>11.34</v>
      </c>
      <c r="H276" s="10">
        <v>873.18</v>
      </c>
      <c r="I276" s="8" t="s">
        <v>1384</v>
      </c>
      <c r="J276" s="8" t="s">
        <v>1385</v>
      </c>
      <c r="K276" s="8" t="s">
        <v>626</v>
      </c>
      <c r="L276" s="8" t="s">
        <v>627</v>
      </c>
      <c r="M276" s="8" t="s">
        <v>551</v>
      </c>
      <c r="N276" s="8" t="s">
        <v>495</v>
      </c>
      <c r="O276" s="8" t="s">
        <v>285</v>
      </c>
      <c r="P276" s="8" t="s">
        <v>841</v>
      </c>
      <c r="Q276" s="11">
        <v>1040</v>
      </c>
      <c r="R276" s="11">
        <v>908107.2</v>
      </c>
      <c r="S276" s="9">
        <v>130</v>
      </c>
      <c r="T276" s="8" t="s">
        <v>79</v>
      </c>
      <c r="U276" s="9">
        <v>77</v>
      </c>
      <c r="V276" s="8" t="s">
        <v>844</v>
      </c>
      <c r="W276" s="8" t="s">
        <v>1416</v>
      </c>
    </row>
    <row r="277" spans="1:23" x14ac:dyDescent="0.3">
      <c r="A277" s="2" t="s">
        <v>838</v>
      </c>
      <c r="B277" s="3" t="s">
        <v>282</v>
      </c>
      <c r="C277" s="3" t="s">
        <v>839</v>
      </c>
      <c r="D277" s="3" t="s">
        <v>840</v>
      </c>
      <c r="E277" s="3">
        <v>177590</v>
      </c>
      <c r="F277" s="4">
        <v>86</v>
      </c>
      <c r="G277" s="5">
        <v>11.34</v>
      </c>
      <c r="H277" s="5">
        <v>975.24</v>
      </c>
      <c r="I277" s="3" t="s">
        <v>1384</v>
      </c>
      <c r="J277" s="3" t="s">
        <v>1385</v>
      </c>
      <c r="K277" s="3" t="s">
        <v>626</v>
      </c>
      <c r="L277" s="3" t="s">
        <v>627</v>
      </c>
      <c r="M277" s="3" t="s">
        <v>551</v>
      </c>
      <c r="N277" s="3" t="s">
        <v>495</v>
      </c>
      <c r="O277" s="3" t="s">
        <v>285</v>
      </c>
      <c r="P277" s="3" t="s">
        <v>841</v>
      </c>
      <c r="Q277" s="6">
        <v>1040</v>
      </c>
      <c r="R277" s="6">
        <v>1014249.6</v>
      </c>
      <c r="S277" s="4">
        <v>130</v>
      </c>
      <c r="T277" s="3" t="s">
        <v>79</v>
      </c>
      <c r="U277" s="4">
        <v>86</v>
      </c>
      <c r="V277" s="3" t="s">
        <v>845</v>
      </c>
      <c r="W277" s="3" t="s">
        <v>1417</v>
      </c>
    </row>
    <row r="278" spans="1:23" x14ac:dyDescent="0.3">
      <c r="A278" s="7" t="s">
        <v>838</v>
      </c>
      <c r="B278" s="8" t="s">
        <v>282</v>
      </c>
      <c r="C278" s="8" t="s">
        <v>839</v>
      </c>
      <c r="D278" s="8" t="s">
        <v>840</v>
      </c>
      <c r="E278" s="8">
        <v>177590</v>
      </c>
      <c r="F278" s="9">
        <v>77</v>
      </c>
      <c r="G278" s="10">
        <v>11.34</v>
      </c>
      <c r="H278" s="10">
        <v>873.18</v>
      </c>
      <c r="I278" s="8" t="s">
        <v>1384</v>
      </c>
      <c r="J278" s="8" t="s">
        <v>1385</v>
      </c>
      <c r="K278" s="8" t="s">
        <v>626</v>
      </c>
      <c r="L278" s="8" t="s">
        <v>627</v>
      </c>
      <c r="M278" s="8" t="s">
        <v>551</v>
      </c>
      <c r="N278" s="8" t="s">
        <v>495</v>
      </c>
      <c r="O278" s="8" t="s">
        <v>285</v>
      </c>
      <c r="P278" s="8" t="s">
        <v>841</v>
      </c>
      <c r="Q278" s="11">
        <v>1040</v>
      </c>
      <c r="R278" s="11">
        <v>908107.2</v>
      </c>
      <c r="S278" s="9">
        <v>130</v>
      </c>
      <c r="T278" s="8" t="s">
        <v>79</v>
      </c>
      <c r="U278" s="9">
        <v>77</v>
      </c>
      <c r="V278" s="8" t="s">
        <v>844</v>
      </c>
      <c r="W278" s="8" t="s">
        <v>1418</v>
      </c>
    </row>
    <row r="279" spans="1:23" x14ac:dyDescent="0.3">
      <c r="A279" s="2" t="s">
        <v>838</v>
      </c>
      <c r="B279" s="3" t="s">
        <v>282</v>
      </c>
      <c r="C279" s="3" t="s">
        <v>839</v>
      </c>
      <c r="D279" s="3" t="s">
        <v>840</v>
      </c>
      <c r="E279" s="3">
        <v>177590</v>
      </c>
      <c r="F279" s="4">
        <v>81</v>
      </c>
      <c r="G279" s="5">
        <v>11.34</v>
      </c>
      <c r="H279" s="5">
        <v>918.54</v>
      </c>
      <c r="I279" s="3" t="s">
        <v>1384</v>
      </c>
      <c r="J279" s="3" t="s">
        <v>1385</v>
      </c>
      <c r="K279" s="3" t="s">
        <v>626</v>
      </c>
      <c r="L279" s="3" t="s">
        <v>627</v>
      </c>
      <c r="M279" s="3" t="s">
        <v>551</v>
      </c>
      <c r="N279" s="3" t="s">
        <v>495</v>
      </c>
      <c r="O279" s="3" t="s">
        <v>285</v>
      </c>
      <c r="P279" s="3" t="s">
        <v>841</v>
      </c>
      <c r="Q279" s="6">
        <v>1040</v>
      </c>
      <c r="R279" s="6">
        <v>955281.6</v>
      </c>
      <c r="S279" s="4">
        <v>130</v>
      </c>
      <c r="T279" s="3" t="s">
        <v>79</v>
      </c>
      <c r="U279" s="4">
        <v>81</v>
      </c>
      <c r="V279" s="3" t="s">
        <v>846</v>
      </c>
      <c r="W279" s="3" t="s">
        <v>1419</v>
      </c>
    </row>
    <row r="280" spans="1:23" x14ac:dyDescent="0.3">
      <c r="A280" s="7" t="s">
        <v>838</v>
      </c>
      <c r="B280" s="8" t="s">
        <v>282</v>
      </c>
      <c r="C280" s="8" t="s">
        <v>839</v>
      </c>
      <c r="D280" s="8" t="s">
        <v>840</v>
      </c>
      <c r="E280" s="8">
        <v>177590</v>
      </c>
      <c r="F280" s="9">
        <v>77</v>
      </c>
      <c r="G280" s="10">
        <v>11.34</v>
      </c>
      <c r="H280" s="10">
        <v>873.18</v>
      </c>
      <c r="I280" s="8" t="s">
        <v>1384</v>
      </c>
      <c r="J280" s="8" t="s">
        <v>1385</v>
      </c>
      <c r="K280" s="8" t="s">
        <v>626</v>
      </c>
      <c r="L280" s="8" t="s">
        <v>627</v>
      </c>
      <c r="M280" s="8" t="s">
        <v>551</v>
      </c>
      <c r="N280" s="8" t="s">
        <v>495</v>
      </c>
      <c r="O280" s="8" t="s">
        <v>285</v>
      </c>
      <c r="P280" s="8" t="s">
        <v>841</v>
      </c>
      <c r="Q280" s="11">
        <v>1040</v>
      </c>
      <c r="R280" s="11">
        <v>908107.2</v>
      </c>
      <c r="S280" s="9">
        <v>130</v>
      </c>
      <c r="T280" s="8" t="s">
        <v>79</v>
      </c>
      <c r="U280" s="9">
        <v>77</v>
      </c>
      <c r="V280" s="8" t="s">
        <v>844</v>
      </c>
      <c r="W280" s="8" t="s">
        <v>1420</v>
      </c>
    </row>
    <row r="281" spans="1:23" x14ac:dyDescent="0.3">
      <c r="A281" s="2" t="s">
        <v>838</v>
      </c>
      <c r="B281" s="3" t="s">
        <v>282</v>
      </c>
      <c r="C281" s="3" t="s">
        <v>839</v>
      </c>
      <c r="D281" s="3" t="s">
        <v>847</v>
      </c>
      <c r="E281" s="3">
        <v>177591</v>
      </c>
      <c r="F281" s="4">
        <v>68</v>
      </c>
      <c r="G281" s="5">
        <v>50</v>
      </c>
      <c r="H281" s="5">
        <v>3400</v>
      </c>
      <c r="I281" s="3" t="s">
        <v>1384</v>
      </c>
      <c r="J281" s="3" t="s">
        <v>1386</v>
      </c>
      <c r="K281" s="3" t="s">
        <v>848</v>
      </c>
      <c r="L281" s="3" t="s">
        <v>627</v>
      </c>
      <c r="M281" s="3" t="s">
        <v>849</v>
      </c>
      <c r="N281" s="3" t="s">
        <v>495</v>
      </c>
      <c r="O281" s="3" t="s">
        <v>285</v>
      </c>
      <c r="P281" s="3" t="s">
        <v>841</v>
      </c>
      <c r="Q281" s="6">
        <v>1000</v>
      </c>
      <c r="R281" s="6">
        <v>3400000</v>
      </c>
      <c r="S281" s="4">
        <v>130</v>
      </c>
      <c r="T281" s="3" t="s">
        <v>79</v>
      </c>
      <c r="U281" s="4">
        <v>68</v>
      </c>
      <c r="V281" s="3" t="s">
        <v>850</v>
      </c>
      <c r="W281" s="3" t="s">
        <v>1413</v>
      </c>
    </row>
    <row r="282" spans="1:23" x14ac:dyDescent="0.3">
      <c r="A282" s="7" t="s">
        <v>838</v>
      </c>
      <c r="B282" s="8" t="s">
        <v>282</v>
      </c>
      <c r="C282" s="8" t="s">
        <v>839</v>
      </c>
      <c r="D282" s="8" t="s">
        <v>847</v>
      </c>
      <c r="E282" s="8">
        <v>177591</v>
      </c>
      <c r="F282" s="9">
        <v>117</v>
      </c>
      <c r="G282" s="10">
        <v>50</v>
      </c>
      <c r="H282" s="10">
        <v>5850</v>
      </c>
      <c r="I282" s="8" t="s">
        <v>1384</v>
      </c>
      <c r="J282" s="8" t="s">
        <v>1386</v>
      </c>
      <c r="K282" s="8" t="s">
        <v>848</v>
      </c>
      <c r="L282" s="8" t="s">
        <v>627</v>
      </c>
      <c r="M282" s="8" t="s">
        <v>849</v>
      </c>
      <c r="N282" s="8" t="s">
        <v>495</v>
      </c>
      <c r="O282" s="8" t="s">
        <v>285</v>
      </c>
      <c r="P282" s="8" t="s">
        <v>841</v>
      </c>
      <c r="Q282" s="11">
        <v>1000</v>
      </c>
      <c r="R282" s="11">
        <v>5850000</v>
      </c>
      <c r="S282" s="9">
        <v>130</v>
      </c>
      <c r="T282" s="8" t="s">
        <v>79</v>
      </c>
      <c r="U282" s="9">
        <v>117</v>
      </c>
      <c r="V282" s="8" t="s">
        <v>851</v>
      </c>
      <c r="W282" s="8" t="s">
        <v>1414</v>
      </c>
    </row>
    <row r="283" spans="1:23" x14ac:dyDescent="0.3">
      <c r="A283" s="2" t="s">
        <v>852</v>
      </c>
      <c r="B283" s="3" t="s">
        <v>282</v>
      </c>
      <c r="C283" s="3" t="s">
        <v>853</v>
      </c>
      <c r="D283" s="3" t="s">
        <v>854</v>
      </c>
      <c r="E283" s="3">
        <v>177602</v>
      </c>
      <c r="F283" s="4">
        <v>24</v>
      </c>
      <c r="G283" s="5">
        <v>10</v>
      </c>
      <c r="H283" s="5">
        <v>240</v>
      </c>
      <c r="I283" s="3" t="s">
        <v>1378</v>
      </c>
      <c r="J283" s="3" t="s">
        <v>1379</v>
      </c>
      <c r="K283" s="3" t="s">
        <v>855</v>
      </c>
      <c r="L283" s="3" t="s">
        <v>856</v>
      </c>
      <c r="M283" s="3" t="s">
        <v>857</v>
      </c>
      <c r="N283" s="3" t="s">
        <v>495</v>
      </c>
      <c r="O283" s="3" t="s">
        <v>285</v>
      </c>
      <c r="P283" s="3" t="s">
        <v>513</v>
      </c>
      <c r="Q283" s="6">
        <v>1785</v>
      </c>
      <c r="R283" s="6">
        <v>428400</v>
      </c>
      <c r="S283" s="4">
        <v>131</v>
      </c>
      <c r="T283" s="3" t="s">
        <v>79</v>
      </c>
      <c r="U283" s="4">
        <v>24</v>
      </c>
      <c r="V283" s="3" t="s">
        <v>858</v>
      </c>
      <c r="W283" s="3" t="s">
        <v>859</v>
      </c>
    </row>
    <row r="284" spans="1:23" x14ac:dyDescent="0.3">
      <c r="A284" s="7" t="s">
        <v>852</v>
      </c>
      <c r="B284" s="8" t="s">
        <v>282</v>
      </c>
      <c r="C284" s="8" t="s">
        <v>853</v>
      </c>
      <c r="D284" s="8" t="s">
        <v>860</v>
      </c>
      <c r="E284" s="8">
        <v>177603</v>
      </c>
      <c r="F284" s="9">
        <v>23</v>
      </c>
      <c r="G284" s="10">
        <v>10</v>
      </c>
      <c r="H284" s="10">
        <v>230</v>
      </c>
      <c r="I284" s="8" t="s">
        <v>1378</v>
      </c>
      <c r="J284" s="8" t="s">
        <v>1379</v>
      </c>
      <c r="K284" s="8" t="s">
        <v>861</v>
      </c>
      <c r="L284" s="8" t="s">
        <v>861</v>
      </c>
      <c r="M284" s="8" t="s">
        <v>862</v>
      </c>
      <c r="N284" s="8" t="s">
        <v>495</v>
      </c>
      <c r="O284" s="8" t="s">
        <v>285</v>
      </c>
      <c r="P284" s="8" t="s">
        <v>513</v>
      </c>
      <c r="Q284" s="11">
        <v>1785</v>
      </c>
      <c r="R284" s="11">
        <v>410550</v>
      </c>
      <c r="S284" s="9">
        <v>131</v>
      </c>
      <c r="T284" s="8" t="s">
        <v>79</v>
      </c>
      <c r="U284" s="9">
        <v>23</v>
      </c>
      <c r="V284" s="8" t="s">
        <v>863</v>
      </c>
      <c r="W284" s="8" t="s">
        <v>864</v>
      </c>
    </row>
    <row r="285" spans="1:23" x14ac:dyDescent="0.3">
      <c r="A285" s="2" t="s">
        <v>852</v>
      </c>
      <c r="B285" s="3" t="s">
        <v>282</v>
      </c>
      <c r="C285" s="3" t="s">
        <v>853</v>
      </c>
      <c r="D285" s="3" t="s">
        <v>865</v>
      </c>
      <c r="E285" s="3">
        <v>177604</v>
      </c>
      <c r="F285" s="4">
        <v>23</v>
      </c>
      <c r="G285" s="5">
        <v>10</v>
      </c>
      <c r="H285" s="5">
        <v>230</v>
      </c>
      <c r="I285" s="3" t="s">
        <v>1378</v>
      </c>
      <c r="J285" s="3" t="s">
        <v>1379</v>
      </c>
      <c r="K285" s="3" t="s">
        <v>866</v>
      </c>
      <c r="L285" s="3" t="s">
        <v>866</v>
      </c>
      <c r="M285" s="3" t="s">
        <v>867</v>
      </c>
      <c r="N285" s="3" t="s">
        <v>495</v>
      </c>
      <c r="O285" s="3" t="s">
        <v>285</v>
      </c>
      <c r="P285" s="3" t="s">
        <v>513</v>
      </c>
      <c r="Q285" s="6">
        <v>1785</v>
      </c>
      <c r="R285" s="6">
        <v>410550</v>
      </c>
      <c r="S285" s="4">
        <v>131</v>
      </c>
      <c r="T285" s="3" t="s">
        <v>79</v>
      </c>
      <c r="U285" s="4">
        <v>23</v>
      </c>
      <c r="V285" s="3" t="s">
        <v>868</v>
      </c>
      <c r="W285" s="3" t="s">
        <v>869</v>
      </c>
    </row>
    <row r="286" spans="1:23" x14ac:dyDescent="0.3">
      <c r="A286" s="7" t="s">
        <v>852</v>
      </c>
      <c r="B286" s="8" t="s">
        <v>282</v>
      </c>
      <c r="C286" s="8" t="s">
        <v>853</v>
      </c>
      <c r="D286" s="8" t="s">
        <v>284</v>
      </c>
      <c r="E286" s="8">
        <v>177605</v>
      </c>
      <c r="F286" s="9">
        <v>23</v>
      </c>
      <c r="G286" s="10">
        <v>10</v>
      </c>
      <c r="H286" s="10">
        <v>230</v>
      </c>
      <c r="I286" s="8" t="s">
        <v>1378</v>
      </c>
      <c r="J286" s="8" t="s">
        <v>1379</v>
      </c>
      <c r="K286" s="8" t="s">
        <v>511</v>
      </c>
      <c r="L286" s="8" t="s">
        <v>511</v>
      </c>
      <c r="M286" s="8" t="s">
        <v>512</v>
      </c>
      <c r="N286" s="8" t="s">
        <v>495</v>
      </c>
      <c r="O286" s="8" t="s">
        <v>285</v>
      </c>
      <c r="P286" s="8" t="s">
        <v>513</v>
      </c>
      <c r="Q286" s="11">
        <v>910</v>
      </c>
      <c r="R286" s="11">
        <v>209300</v>
      </c>
      <c r="S286" s="9">
        <v>131</v>
      </c>
      <c r="T286" s="8" t="s">
        <v>79</v>
      </c>
      <c r="U286" s="9">
        <v>23</v>
      </c>
      <c r="V286" s="8" t="e">
        <f>VLOOKUP(E286,'[1]Consolidated Stock'!$E:$V,18,0)</f>
        <v>#N/A</v>
      </c>
      <c r="W286" s="8" t="s">
        <v>35</v>
      </c>
    </row>
    <row r="287" spans="1:23" x14ac:dyDescent="0.3">
      <c r="A287" s="2" t="s">
        <v>414</v>
      </c>
      <c r="B287" s="3" t="s">
        <v>282</v>
      </c>
      <c r="C287" s="3" t="s">
        <v>870</v>
      </c>
      <c r="D287" s="3" t="s">
        <v>284</v>
      </c>
      <c r="E287" s="3">
        <v>177973</v>
      </c>
      <c r="F287" s="4">
        <v>136</v>
      </c>
      <c r="G287" s="5">
        <v>11.34</v>
      </c>
      <c r="H287" s="5">
        <v>1542.24</v>
      </c>
      <c r="I287" s="3" t="s">
        <v>1381</v>
      </c>
      <c r="J287" s="3" t="s">
        <v>1382</v>
      </c>
      <c r="K287" s="3" t="s">
        <v>871</v>
      </c>
      <c r="L287" s="3" t="s">
        <v>871</v>
      </c>
      <c r="M287" s="3" t="s">
        <v>802</v>
      </c>
      <c r="N287" s="3" t="s">
        <v>495</v>
      </c>
      <c r="O287" s="3" t="s">
        <v>285</v>
      </c>
      <c r="P287" s="3">
        <v>0</v>
      </c>
      <c r="Q287" s="6">
        <v>415</v>
      </c>
      <c r="R287" s="6">
        <v>640029.6</v>
      </c>
      <c r="S287" s="4">
        <v>127</v>
      </c>
      <c r="T287" s="3" t="s">
        <v>79</v>
      </c>
      <c r="U287" s="4">
        <v>136</v>
      </c>
      <c r="V287" s="3" t="e">
        <f>VLOOKUP(E287,'[1]Consolidated Stock'!$E:$V,18,0)</f>
        <v>#N/A</v>
      </c>
      <c r="W287" s="3" t="s">
        <v>872</v>
      </c>
    </row>
    <row r="288" spans="1:23" x14ac:dyDescent="0.3">
      <c r="A288" s="7" t="s">
        <v>873</v>
      </c>
      <c r="B288" s="8" t="s">
        <v>282</v>
      </c>
      <c r="C288" s="8" t="s">
        <v>874</v>
      </c>
      <c r="D288" s="8" t="s">
        <v>875</v>
      </c>
      <c r="E288" s="8">
        <v>179566</v>
      </c>
      <c r="F288" s="9">
        <v>856</v>
      </c>
      <c r="G288" s="10">
        <v>11.34</v>
      </c>
      <c r="H288" s="10">
        <v>9707.0400000000009</v>
      </c>
      <c r="I288" s="8" t="s">
        <v>1381</v>
      </c>
      <c r="J288" s="8" t="s">
        <v>1382</v>
      </c>
      <c r="K288" s="8" t="s">
        <v>871</v>
      </c>
      <c r="L288" s="8" t="s">
        <v>871</v>
      </c>
      <c r="M288" s="8" t="s">
        <v>802</v>
      </c>
      <c r="N288" s="8" t="s">
        <v>495</v>
      </c>
      <c r="O288" s="8" t="s">
        <v>285</v>
      </c>
      <c r="P288" s="8" t="s">
        <v>575</v>
      </c>
      <c r="Q288" s="11">
        <v>425</v>
      </c>
      <c r="R288" s="11">
        <v>4125492</v>
      </c>
      <c r="S288" s="9">
        <v>114</v>
      </c>
      <c r="T288" s="8" t="s">
        <v>79</v>
      </c>
      <c r="U288" s="9">
        <v>856</v>
      </c>
      <c r="V288" s="8" t="s">
        <v>876</v>
      </c>
      <c r="W288" s="8" t="s">
        <v>877</v>
      </c>
    </row>
    <row r="289" spans="1:23" x14ac:dyDescent="0.3">
      <c r="A289" s="2" t="s">
        <v>878</v>
      </c>
      <c r="B289" s="3" t="s">
        <v>282</v>
      </c>
      <c r="C289" s="3" t="s">
        <v>879</v>
      </c>
      <c r="D289" s="3" t="s">
        <v>880</v>
      </c>
      <c r="E289" s="3">
        <v>180125</v>
      </c>
      <c r="F289" s="4">
        <v>84</v>
      </c>
      <c r="G289" s="5">
        <v>13.6</v>
      </c>
      <c r="H289" s="5">
        <v>1142.4000000000001</v>
      </c>
      <c r="I289" s="3" t="s">
        <v>1378</v>
      </c>
      <c r="J289" s="3" t="s">
        <v>567</v>
      </c>
      <c r="K289" s="3" t="s">
        <v>565</v>
      </c>
      <c r="L289" s="3" t="s">
        <v>881</v>
      </c>
      <c r="M289" s="3" t="s">
        <v>567</v>
      </c>
      <c r="N289" s="3" t="s">
        <v>495</v>
      </c>
      <c r="O289" s="3" t="s">
        <v>285</v>
      </c>
      <c r="P289" s="3">
        <v>0</v>
      </c>
      <c r="Q289" s="6">
        <v>1425</v>
      </c>
      <c r="R289" s="6">
        <v>1627920</v>
      </c>
      <c r="S289" s="4">
        <v>110</v>
      </c>
      <c r="T289" s="3" t="s">
        <v>79</v>
      </c>
      <c r="U289" s="4">
        <v>84</v>
      </c>
      <c r="V289" s="3" t="s">
        <v>882</v>
      </c>
      <c r="W289" s="3" t="s">
        <v>883</v>
      </c>
    </row>
    <row r="290" spans="1:23" x14ac:dyDescent="0.3">
      <c r="A290" s="7" t="s">
        <v>884</v>
      </c>
      <c r="B290" s="8" t="s">
        <v>282</v>
      </c>
      <c r="C290" s="8" t="s">
        <v>885</v>
      </c>
      <c r="D290" s="8" t="s">
        <v>886</v>
      </c>
      <c r="E290" s="8">
        <v>180367</v>
      </c>
      <c r="F290" s="9">
        <v>199</v>
      </c>
      <c r="G290" s="10">
        <v>5</v>
      </c>
      <c r="H290" s="10">
        <v>995</v>
      </c>
      <c r="I290" s="8" t="s">
        <v>1366</v>
      </c>
      <c r="J290" s="8" t="s">
        <v>1380</v>
      </c>
      <c r="K290" s="8" t="s">
        <v>887</v>
      </c>
      <c r="L290" s="8" t="s">
        <v>887</v>
      </c>
      <c r="M290" s="8" t="s">
        <v>888</v>
      </c>
      <c r="N290" s="8" t="s">
        <v>495</v>
      </c>
      <c r="O290" s="8" t="s">
        <v>285</v>
      </c>
      <c r="P290" s="8" t="s">
        <v>372</v>
      </c>
      <c r="Q290" s="11">
        <v>527</v>
      </c>
      <c r="R290" s="11">
        <v>524365</v>
      </c>
      <c r="S290" s="9">
        <v>108</v>
      </c>
      <c r="T290" s="8" t="s">
        <v>79</v>
      </c>
      <c r="U290" s="9">
        <v>199</v>
      </c>
      <c r="V290" s="8" t="s">
        <v>889</v>
      </c>
      <c r="W290" s="8" t="s">
        <v>890</v>
      </c>
    </row>
    <row r="291" spans="1:23" x14ac:dyDescent="0.3">
      <c r="A291" s="2" t="s">
        <v>891</v>
      </c>
      <c r="B291" s="3" t="s">
        <v>282</v>
      </c>
      <c r="C291" s="3" t="s">
        <v>892</v>
      </c>
      <c r="D291" s="3" t="s">
        <v>887</v>
      </c>
      <c r="E291" s="3">
        <v>180642</v>
      </c>
      <c r="F291" s="4">
        <v>200</v>
      </c>
      <c r="G291" s="5">
        <v>5</v>
      </c>
      <c r="H291" s="5">
        <v>1000</v>
      </c>
      <c r="I291" s="3" t="s">
        <v>1366</v>
      </c>
      <c r="J291" s="3" t="s">
        <v>1380</v>
      </c>
      <c r="K291" s="3" t="s">
        <v>887</v>
      </c>
      <c r="L291" s="3" t="s">
        <v>887</v>
      </c>
      <c r="M291" s="3" t="s">
        <v>888</v>
      </c>
      <c r="N291" s="3" t="s">
        <v>495</v>
      </c>
      <c r="O291" s="3" t="s">
        <v>285</v>
      </c>
      <c r="P291" s="3" t="s">
        <v>372</v>
      </c>
      <c r="Q291" s="6">
        <v>527</v>
      </c>
      <c r="R291" s="6">
        <v>527000</v>
      </c>
      <c r="S291" s="4">
        <v>106</v>
      </c>
      <c r="T291" s="3" t="s">
        <v>79</v>
      </c>
      <c r="U291" s="4">
        <v>200</v>
      </c>
      <c r="V291" s="3" t="s">
        <v>893</v>
      </c>
      <c r="W291" s="3" t="s">
        <v>894</v>
      </c>
    </row>
    <row r="292" spans="1:23" x14ac:dyDescent="0.3">
      <c r="A292" s="7" t="s">
        <v>891</v>
      </c>
      <c r="B292" s="8" t="s">
        <v>282</v>
      </c>
      <c r="C292" s="8" t="s">
        <v>892</v>
      </c>
      <c r="D292" s="8" t="s">
        <v>895</v>
      </c>
      <c r="E292" s="8">
        <v>180647</v>
      </c>
      <c r="F292" s="9">
        <v>7</v>
      </c>
      <c r="G292" s="10">
        <v>3.5</v>
      </c>
      <c r="H292" s="10">
        <v>24.5</v>
      </c>
      <c r="I292" s="8" t="s">
        <v>1366</v>
      </c>
      <c r="J292" s="8" t="s">
        <v>896</v>
      </c>
      <c r="K292" s="8" t="s">
        <v>896</v>
      </c>
      <c r="L292" s="8" t="s">
        <v>897</v>
      </c>
      <c r="M292" s="8" t="s">
        <v>898</v>
      </c>
      <c r="N292" s="8" t="s">
        <v>495</v>
      </c>
      <c r="O292" s="8" t="s">
        <v>285</v>
      </c>
      <c r="P292" s="8" t="s">
        <v>372</v>
      </c>
      <c r="Q292" s="11">
        <v>1350</v>
      </c>
      <c r="R292" s="11">
        <v>33075</v>
      </c>
      <c r="S292" s="9">
        <v>106</v>
      </c>
      <c r="T292" s="8" t="s">
        <v>79</v>
      </c>
      <c r="U292" s="9">
        <v>7</v>
      </c>
      <c r="V292" s="8" t="s">
        <v>899</v>
      </c>
      <c r="W292" s="8" t="s">
        <v>75</v>
      </c>
    </row>
    <row r="293" spans="1:23" x14ac:dyDescent="0.3">
      <c r="A293" s="2" t="s">
        <v>900</v>
      </c>
      <c r="B293" s="3" t="s">
        <v>282</v>
      </c>
      <c r="C293" s="3" t="s">
        <v>901</v>
      </c>
      <c r="D293" s="3" t="s">
        <v>284</v>
      </c>
      <c r="E293" s="3">
        <v>181841</v>
      </c>
      <c r="F293" s="4">
        <v>20</v>
      </c>
      <c r="G293" s="5">
        <v>12.5</v>
      </c>
      <c r="H293" s="5">
        <v>250</v>
      </c>
      <c r="I293" s="3" t="s">
        <v>1387</v>
      </c>
      <c r="J293" s="3" t="s">
        <v>1388</v>
      </c>
      <c r="K293" s="3" t="s">
        <v>902</v>
      </c>
      <c r="L293" s="3" t="s">
        <v>903</v>
      </c>
      <c r="M293" s="3" t="s">
        <v>904</v>
      </c>
      <c r="N293" s="3" t="s">
        <v>495</v>
      </c>
      <c r="O293" s="3" t="s">
        <v>285</v>
      </c>
      <c r="P293" s="3" t="s">
        <v>575</v>
      </c>
      <c r="Q293" s="6">
        <v>550</v>
      </c>
      <c r="R293" s="6">
        <v>137500</v>
      </c>
      <c r="S293" s="4">
        <v>98</v>
      </c>
      <c r="T293" s="3" t="s">
        <v>79</v>
      </c>
      <c r="U293" s="4">
        <v>20</v>
      </c>
      <c r="V293" s="3" t="e">
        <f>VLOOKUP(E293,'[1]Consolidated Stock'!$E:$V,18,0)</f>
        <v>#N/A</v>
      </c>
      <c r="W293" s="3" t="s">
        <v>81</v>
      </c>
    </row>
    <row r="294" spans="1:23" x14ac:dyDescent="0.3">
      <c r="A294" s="7" t="s">
        <v>905</v>
      </c>
      <c r="B294" s="8" t="s">
        <v>282</v>
      </c>
      <c r="C294" s="8" t="s">
        <v>906</v>
      </c>
      <c r="D294" s="8" t="s">
        <v>907</v>
      </c>
      <c r="E294" s="8">
        <v>182082</v>
      </c>
      <c r="F294" s="9">
        <v>69</v>
      </c>
      <c r="G294" s="10">
        <v>5</v>
      </c>
      <c r="H294" s="10">
        <v>345</v>
      </c>
      <c r="I294" s="8" t="s">
        <v>1366</v>
      </c>
      <c r="J294" s="8" t="s">
        <v>451</v>
      </c>
      <c r="K294" s="8" t="s">
        <v>451</v>
      </c>
      <c r="L294" s="8" t="s">
        <v>431</v>
      </c>
      <c r="M294" s="8" t="s">
        <v>908</v>
      </c>
      <c r="N294" s="8" t="s">
        <v>495</v>
      </c>
      <c r="O294" s="8" t="s">
        <v>285</v>
      </c>
      <c r="P294" s="8" t="s">
        <v>372</v>
      </c>
      <c r="Q294" s="11">
        <v>1057</v>
      </c>
      <c r="R294" s="11">
        <v>364665</v>
      </c>
      <c r="S294" s="9">
        <v>55</v>
      </c>
      <c r="T294" s="8" t="s">
        <v>79</v>
      </c>
      <c r="U294" s="9">
        <v>69</v>
      </c>
      <c r="V294" s="8" t="s">
        <v>909</v>
      </c>
      <c r="W294" s="8" t="s">
        <v>910</v>
      </c>
    </row>
    <row r="295" spans="1:23" x14ac:dyDescent="0.3">
      <c r="A295" s="2" t="s">
        <v>911</v>
      </c>
      <c r="B295" s="3" t="s">
        <v>282</v>
      </c>
      <c r="C295" s="3" t="s">
        <v>912</v>
      </c>
      <c r="D295" s="3" t="s">
        <v>913</v>
      </c>
      <c r="E295" s="3">
        <v>182083</v>
      </c>
      <c r="F295" s="4">
        <v>208</v>
      </c>
      <c r="G295" s="5">
        <v>5</v>
      </c>
      <c r="H295" s="5">
        <v>1040</v>
      </c>
      <c r="I295" s="3" t="s">
        <v>1366</v>
      </c>
      <c r="J295" s="3" t="s">
        <v>369</v>
      </c>
      <c r="K295" s="3" t="s">
        <v>369</v>
      </c>
      <c r="L295" s="3" t="s">
        <v>370</v>
      </c>
      <c r="M295" s="3" t="s">
        <v>914</v>
      </c>
      <c r="N295" s="3" t="s">
        <v>495</v>
      </c>
      <c r="O295" s="3" t="s">
        <v>285</v>
      </c>
      <c r="P295" s="3" t="s">
        <v>372</v>
      </c>
      <c r="Q295" s="6">
        <v>871.2</v>
      </c>
      <c r="R295" s="6">
        <v>906048</v>
      </c>
      <c r="S295" s="4">
        <v>96</v>
      </c>
      <c r="T295" s="3" t="s">
        <v>79</v>
      </c>
      <c r="U295" s="4">
        <v>208</v>
      </c>
      <c r="V295" s="3" t="s">
        <v>915</v>
      </c>
      <c r="W295" s="3" t="s">
        <v>83</v>
      </c>
    </row>
    <row r="296" spans="1:23" x14ac:dyDescent="0.3">
      <c r="A296" s="7" t="s">
        <v>911</v>
      </c>
      <c r="B296" s="8" t="s">
        <v>282</v>
      </c>
      <c r="C296" s="8" t="s">
        <v>912</v>
      </c>
      <c r="D296" s="8" t="s">
        <v>916</v>
      </c>
      <c r="E296" s="8">
        <v>182099</v>
      </c>
      <c r="F296" s="9">
        <v>200</v>
      </c>
      <c r="G296" s="10">
        <v>5</v>
      </c>
      <c r="H296" s="10">
        <v>1000</v>
      </c>
      <c r="I296" s="8" t="s">
        <v>1366</v>
      </c>
      <c r="J296" s="8" t="s">
        <v>1380</v>
      </c>
      <c r="K296" s="8" t="s">
        <v>887</v>
      </c>
      <c r="L296" s="8" t="s">
        <v>887</v>
      </c>
      <c r="M296" s="8" t="s">
        <v>888</v>
      </c>
      <c r="N296" s="8" t="s">
        <v>495</v>
      </c>
      <c r="O296" s="8" t="s">
        <v>285</v>
      </c>
      <c r="P296" s="8" t="s">
        <v>372</v>
      </c>
      <c r="Q296" s="11">
        <v>527</v>
      </c>
      <c r="R296" s="11">
        <v>527000</v>
      </c>
      <c r="S296" s="9">
        <v>96</v>
      </c>
      <c r="T296" s="8" t="s">
        <v>79</v>
      </c>
      <c r="U296" s="9">
        <v>200</v>
      </c>
      <c r="V296" s="8" t="s">
        <v>917</v>
      </c>
      <c r="W296" s="8" t="s">
        <v>114</v>
      </c>
    </row>
    <row r="297" spans="1:23" x14ac:dyDescent="0.3">
      <c r="A297" s="2" t="s">
        <v>918</v>
      </c>
      <c r="B297" s="3" t="s">
        <v>282</v>
      </c>
      <c r="C297" s="3" t="s">
        <v>919</v>
      </c>
      <c r="D297" s="3" t="s">
        <v>284</v>
      </c>
      <c r="E297" s="3">
        <v>182526</v>
      </c>
      <c r="F297" s="4">
        <v>857</v>
      </c>
      <c r="G297" s="5">
        <v>11.34</v>
      </c>
      <c r="H297" s="5">
        <v>9718.3799999999992</v>
      </c>
      <c r="I297" s="3" t="s">
        <v>1381</v>
      </c>
      <c r="J297" s="3" t="s">
        <v>1389</v>
      </c>
      <c r="K297" s="3" t="s">
        <v>572</v>
      </c>
      <c r="L297" s="3" t="s">
        <v>920</v>
      </c>
      <c r="M297" s="3" t="s">
        <v>574</v>
      </c>
      <c r="N297" s="3" t="s">
        <v>495</v>
      </c>
      <c r="O297" s="3" t="s">
        <v>285</v>
      </c>
      <c r="P297" s="3" t="s">
        <v>28</v>
      </c>
      <c r="Q297" s="6">
        <v>345</v>
      </c>
      <c r="R297" s="6">
        <v>3352841.1</v>
      </c>
      <c r="S297" s="4">
        <v>93</v>
      </c>
      <c r="T297" s="3" t="s">
        <v>79</v>
      </c>
      <c r="U297" s="4">
        <v>857</v>
      </c>
      <c r="V297" s="3" t="e">
        <f>VLOOKUP(E297,'[1]Consolidated Stock'!$E:$V,18,0)</f>
        <v>#N/A</v>
      </c>
      <c r="W297" s="3" t="s">
        <v>921</v>
      </c>
    </row>
    <row r="298" spans="1:23" x14ac:dyDescent="0.3">
      <c r="A298" s="7" t="s">
        <v>922</v>
      </c>
      <c r="B298" s="8" t="s">
        <v>282</v>
      </c>
      <c r="C298" s="8" t="s">
        <v>923</v>
      </c>
      <c r="D298" s="8" t="s">
        <v>924</v>
      </c>
      <c r="E298" s="8">
        <v>182726</v>
      </c>
      <c r="F298" s="9">
        <v>50</v>
      </c>
      <c r="G298" s="10">
        <v>10</v>
      </c>
      <c r="H298" s="10">
        <v>500</v>
      </c>
      <c r="I298" s="8" t="s">
        <v>1384</v>
      </c>
      <c r="J298" s="8" t="s">
        <v>1390</v>
      </c>
      <c r="K298" s="8" t="s">
        <v>925</v>
      </c>
      <c r="L298" s="8" t="s">
        <v>786</v>
      </c>
      <c r="M298" s="8" t="s">
        <v>926</v>
      </c>
      <c r="N298" s="8" t="s">
        <v>495</v>
      </c>
      <c r="O298" s="8" t="s">
        <v>285</v>
      </c>
      <c r="P298" s="8" t="s">
        <v>28</v>
      </c>
      <c r="Q298" s="11">
        <v>1904.77</v>
      </c>
      <c r="R298" s="11">
        <v>952385</v>
      </c>
      <c r="S298" s="9">
        <v>90</v>
      </c>
      <c r="T298" s="8" t="s">
        <v>79</v>
      </c>
      <c r="U298" s="9">
        <v>50</v>
      </c>
      <c r="V298" s="8" t="s">
        <v>927</v>
      </c>
      <c r="W298" s="8" t="s">
        <v>118</v>
      </c>
    </row>
    <row r="299" spans="1:23" x14ac:dyDescent="0.3">
      <c r="A299" s="2" t="s">
        <v>928</v>
      </c>
      <c r="B299" s="3" t="s">
        <v>282</v>
      </c>
      <c r="C299" s="3" t="s">
        <v>929</v>
      </c>
      <c r="D299" s="3" t="s">
        <v>930</v>
      </c>
      <c r="E299" s="3">
        <v>183026</v>
      </c>
      <c r="F299" s="4">
        <v>21</v>
      </c>
      <c r="G299" s="5">
        <v>5</v>
      </c>
      <c r="H299" s="5">
        <v>105</v>
      </c>
      <c r="I299" s="3" t="s">
        <v>1366</v>
      </c>
      <c r="J299" s="3" t="s">
        <v>587</v>
      </c>
      <c r="K299" s="3" t="s">
        <v>587</v>
      </c>
      <c r="L299" s="3" t="s">
        <v>587</v>
      </c>
      <c r="M299" s="3" t="s">
        <v>588</v>
      </c>
      <c r="N299" s="3" t="s">
        <v>495</v>
      </c>
      <c r="O299" s="3" t="s">
        <v>285</v>
      </c>
      <c r="P299" s="3" t="s">
        <v>372</v>
      </c>
      <c r="Q299" s="6">
        <v>303</v>
      </c>
      <c r="R299" s="6">
        <v>31815</v>
      </c>
      <c r="S299" s="4">
        <v>89</v>
      </c>
      <c r="T299" s="3" t="s">
        <v>79</v>
      </c>
      <c r="U299" s="4">
        <v>21</v>
      </c>
      <c r="V299" s="3" t="s">
        <v>931</v>
      </c>
      <c r="W299" s="3" t="s">
        <v>932</v>
      </c>
    </row>
    <row r="300" spans="1:23" x14ac:dyDescent="0.3">
      <c r="A300" s="7" t="s">
        <v>928</v>
      </c>
      <c r="B300" s="8" t="s">
        <v>282</v>
      </c>
      <c r="C300" s="8" t="s">
        <v>929</v>
      </c>
      <c r="D300" s="8" t="s">
        <v>933</v>
      </c>
      <c r="E300" s="8">
        <v>183027</v>
      </c>
      <c r="F300" s="9">
        <v>193</v>
      </c>
      <c r="G300" s="10">
        <v>5</v>
      </c>
      <c r="H300" s="10">
        <v>965</v>
      </c>
      <c r="I300" s="8" t="s">
        <v>1366</v>
      </c>
      <c r="J300" s="8" t="s">
        <v>587</v>
      </c>
      <c r="K300" s="8" t="s">
        <v>587</v>
      </c>
      <c r="L300" s="8" t="s">
        <v>587</v>
      </c>
      <c r="M300" s="8" t="s">
        <v>588</v>
      </c>
      <c r="N300" s="8" t="s">
        <v>495</v>
      </c>
      <c r="O300" s="8" t="s">
        <v>285</v>
      </c>
      <c r="P300" s="8" t="s">
        <v>372</v>
      </c>
      <c r="Q300" s="11">
        <v>303</v>
      </c>
      <c r="R300" s="11">
        <v>292395</v>
      </c>
      <c r="S300" s="9">
        <v>89</v>
      </c>
      <c r="T300" s="8" t="s">
        <v>79</v>
      </c>
      <c r="U300" s="9">
        <v>193</v>
      </c>
      <c r="V300" s="8" t="s">
        <v>934</v>
      </c>
      <c r="W300" s="8" t="s">
        <v>137</v>
      </c>
    </row>
    <row r="301" spans="1:23" x14ac:dyDescent="0.3">
      <c r="A301" s="2" t="s">
        <v>928</v>
      </c>
      <c r="B301" s="3" t="s">
        <v>282</v>
      </c>
      <c r="C301" s="3" t="s">
        <v>929</v>
      </c>
      <c r="D301" s="3" t="s">
        <v>935</v>
      </c>
      <c r="E301" s="3">
        <v>183028</v>
      </c>
      <c r="F301" s="4">
        <v>194</v>
      </c>
      <c r="G301" s="5">
        <v>5</v>
      </c>
      <c r="H301" s="5">
        <v>970</v>
      </c>
      <c r="I301" s="3" t="s">
        <v>1366</v>
      </c>
      <c r="J301" s="3" t="s">
        <v>587</v>
      </c>
      <c r="K301" s="3" t="s">
        <v>587</v>
      </c>
      <c r="L301" s="3" t="s">
        <v>587</v>
      </c>
      <c r="M301" s="3" t="s">
        <v>588</v>
      </c>
      <c r="N301" s="3" t="s">
        <v>495</v>
      </c>
      <c r="O301" s="3" t="s">
        <v>285</v>
      </c>
      <c r="P301" s="3" t="s">
        <v>372</v>
      </c>
      <c r="Q301" s="6">
        <v>303</v>
      </c>
      <c r="R301" s="6">
        <v>293910</v>
      </c>
      <c r="S301" s="4">
        <v>89</v>
      </c>
      <c r="T301" s="3" t="s">
        <v>79</v>
      </c>
      <c r="U301" s="4">
        <v>194</v>
      </c>
      <c r="V301" s="3" t="s">
        <v>936</v>
      </c>
      <c r="W301" s="3" t="s">
        <v>937</v>
      </c>
    </row>
    <row r="302" spans="1:23" x14ac:dyDescent="0.3">
      <c r="A302" s="7" t="s">
        <v>928</v>
      </c>
      <c r="B302" s="8" t="s">
        <v>282</v>
      </c>
      <c r="C302" s="8" t="s">
        <v>929</v>
      </c>
      <c r="D302" s="8" t="s">
        <v>938</v>
      </c>
      <c r="E302" s="8">
        <v>183030</v>
      </c>
      <c r="F302" s="9">
        <v>194</v>
      </c>
      <c r="G302" s="10">
        <v>5</v>
      </c>
      <c r="H302" s="10">
        <v>970</v>
      </c>
      <c r="I302" s="8" t="s">
        <v>1366</v>
      </c>
      <c r="J302" s="8" t="s">
        <v>587</v>
      </c>
      <c r="K302" s="8" t="s">
        <v>587</v>
      </c>
      <c r="L302" s="8" t="s">
        <v>587</v>
      </c>
      <c r="M302" s="8" t="s">
        <v>588</v>
      </c>
      <c r="N302" s="8" t="s">
        <v>495</v>
      </c>
      <c r="O302" s="8" t="s">
        <v>285</v>
      </c>
      <c r="P302" s="8" t="s">
        <v>372</v>
      </c>
      <c r="Q302" s="11">
        <v>303</v>
      </c>
      <c r="R302" s="11">
        <v>293910</v>
      </c>
      <c r="S302" s="9">
        <v>89</v>
      </c>
      <c r="T302" s="8" t="s">
        <v>79</v>
      </c>
      <c r="U302" s="9">
        <v>194</v>
      </c>
      <c r="V302" s="8" t="s">
        <v>939</v>
      </c>
      <c r="W302" s="8" t="s">
        <v>940</v>
      </c>
    </row>
    <row r="303" spans="1:23" x14ac:dyDescent="0.3">
      <c r="A303" s="2" t="s">
        <v>928</v>
      </c>
      <c r="B303" s="3" t="s">
        <v>282</v>
      </c>
      <c r="C303" s="3" t="s">
        <v>929</v>
      </c>
      <c r="D303" s="3" t="s">
        <v>941</v>
      </c>
      <c r="E303" s="3">
        <v>183031</v>
      </c>
      <c r="F303" s="4">
        <v>194</v>
      </c>
      <c r="G303" s="5">
        <v>5</v>
      </c>
      <c r="H303" s="5">
        <v>970</v>
      </c>
      <c r="I303" s="3" t="s">
        <v>1366</v>
      </c>
      <c r="J303" s="3" t="s">
        <v>587</v>
      </c>
      <c r="K303" s="3" t="s">
        <v>587</v>
      </c>
      <c r="L303" s="3" t="s">
        <v>587</v>
      </c>
      <c r="M303" s="3" t="s">
        <v>588</v>
      </c>
      <c r="N303" s="3" t="s">
        <v>495</v>
      </c>
      <c r="O303" s="3" t="s">
        <v>285</v>
      </c>
      <c r="P303" s="3" t="s">
        <v>372</v>
      </c>
      <c r="Q303" s="6">
        <v>303</v>
      </c>
      <c r="R303" s="6">
        <v>293910</v>
      </c>
      <c r="S303" s="4">
        <v>89</v>
      </c>
      <c r="T303" s="3" t="s">
        <v>79</v>
      </c>
      <c r="U303" s="4">
        <v>194</v>
      </c>
      <c r="V303" s="3" t="s">
        <v>942</v>
      </c>
      <c r="W303" s="3" t="s">
        <v>120</v>
      </c>
    </row>
    <row r="304" spans="1:23" x14ac:dyDescent="0.3">
      <c r="A304" s="7" t="s">
        <v>928</v>
      </c>
      <c r="B304" s="8" t="s">
        <v>282</v>
      </c>
      <c r="C304" s="8" t="s">
        <v>929</v>
      </c>
      <c r="D304" s="8" t="s">
        <v>943</v>
      </c>
      <c r="E304" s="8">
        <v>183032</v>
      </c>
      <c r="F304" s="9">
        <v>144</v>
      </c>
      <c r="G304" s="10">
        <v>5</v>
      </c>
      <c r="H304" s="10">
        <v>720</v>
      </c>
      <c r="I304" s="8" t="s">
        <v>1366</v>
      </c>
      <c r="J304" s="8" t="s">
        <v>587</v>
      </c>
      <c r="K304" s="8" t="s">
        <v>587</v>
      </c>
      <c r="L304" s="8" t="s">
        <v>587</v>
      </c>
      <c r="M304" s="8" t="s">
        <v>588</v>
      </c>
      <c r="N304" s="8" t="s">
        <v>495</v>
      </c>
      <c r="O304" s="8" t="s">
        <v>285</v>
      </c>
      <c r="P304" s="8" t="s">
        <v>372</v>
      </c>
      <c r="Q304" s="11">
        <v>303</v>
      </c>
      <c r="R304" s="11">
        <v>218160</v>
      </c>
      <c r="S304" s="9">
        <v>89</v>
      </c>
      <c r="T304" s="8" t="s">
        <v>79</v>
      </c>
      <c r="U304" s="9">
        <v>144</v>
      </c>
      <c r="V304" s="8" t="s">
        <v>944</v>
      </c>
      <c r="W304" s="8" t="s">
        <v>945</v>
      </c>
    </row>
    <row r="305" spans="1:23" x14ac:dyDescent="0.3">
      <c r="A305" s="2" t="s">
        <v>928</v>
      </c>
      <c r="B305" s="3" t="s">
        <v>282</v>
      </c>
      <c r="C305" s="3" t="s">
        <v>929</v>
      </c>
      <c r="D305" s="3" t="s">
        <v>946</v>
      </c>
      <c r="E305" s="3">
        <v>183033</v>
      </c>
      <c r="F305" s="4">
        <v>174</v>
      </c>
      <c r="G305" s="5">
        <v>5</v>
      </c>
      <c r="H305" s="5">
        <v>870</v>
      </c>
      <c r="I305" s="3" t="s">
        <v>1366</v>
      </c>
      <c r="J305" s="3" t="s">
        <v>587</v>
      </c>
      <c r="K305" s="3" t="s">
        <v>587</v>
      </c>
      <c r="L305" s="3" t="s">
        <v>587</v>
      </c>
      <c r="M305" s="3" t="s">
        <v>588</v>
      </c>
      <c r="N305" s="3" t="s">
        <v>495</v>
      </c>
      <c r="O305" s="3" t="s">
        <v>285</v>
      </c>
      <c r="P305" s="3" t="s">
        <v>372</v>
      </c>
      <c r="Q305" s="6">
        <v>303</v>
      </c>
      <c r="R305" s="6">
        <v>263610</v>
      </c>
      <c r="S305" s="4">
        <v>89</v>
      </c>
      <c r="T305" s="3" t="s">
        <v>79</v>
      </c>
      <c r="U305" s="4">
        <v>174</v>
      </c>
      <c r="V305" s="3" t="s">
        <v>947</v>
      </c>
      <c r="W305" s="3" t="s">
        <v>125</v>
      </c>
    </row>
    <row r="306" spans="1:23" x14ac:dyDescent="0.3">
      <c r="A306" s="7" t="s">
        <v>928</v>
      </c>
      <c r="B306" s="8" t="s">
        <v>282</v>
      </c>
      <c r="C306" s="8" t="s">
        <v>929</v>
      </c>
      <c r="D306" s="8" t="s">
        <v>948</v>
      </c>
      <c r="E306" s="8">
        <v>183042</v>
      </c>
      <c r="F306" s="9">
        <v>194</v>
      </c>
      <c r="G306" s="10">
        <v>5</v>
      </c>
      <c r="H306" s="10">
        <v>970</v>
      </c>
      <c r="I306" s="8" t="s">
        <v>1366</v>
      </c>
      <c r="J306" s="8" t="s">
        <v>587</v>
      </c>
      <c r="K306" s="8" t="s">
        <v>587</v>
      </c>
      <c r="L306" s="8" t="s">
        <v>587</v>
      </c>
      <c r="M306" s="8" t="s">
        <v>588</v>
      </c>
      <c r="N306" s="8" t="s">
        <v>495</v>
      </c>
      <c r="O306" s="8" t="s">
        <v>285</v>
      </c>
      <c r="P306" s="8" t="s">
        <v>372</v>
      </c>
      <c r="Q306" s="11">
        <v>303</v>
      </c>
      <c r="R306" s="11">
        <v>293910</v>
      </c>
      <c r="S306" s="9">
        <v>89</v>
      </c>
      <c r="T306" s="8" t="s">
        <v>79</v>
      </c>
      <c r="U306" s="9">
        <v>194</v>
      </c>
      <c r="V306" s="8" t="s">
        <v>949</v>
      </c>
      <c r="W306" s="8" t="s">
        <v>141</v>
      </c>
    </row>
    <row r="307" spans="1:23" x14ac:dyDescent="0.3">
      <c r="A307" s="2" t="s">
        <v>928</v>
      </c>
      <c r="B307" s="3" t="s">
        <v>282</v>
      </c>
      <c r="C307" s="3" t="s">
        <v>929</v>
      </c>
      <c r="D307" s="3" t="s">
        <v>950</v>
      </c>
      <c r="E307" s="3">
        <v>183043</v>
      </c>
      <c r="F307" s="4">
        <v>194</v>
      </c>
      <c r="G307" s="5">
        <v>5</v>
      </c>
      <c r="H307" s="5">
        <v>970</v>
      </c>
      <c r="I307" s="3" t="s">
        <v>1366</v>
      </c>
      <c r="J307" s="3" t="s">
        <v>587</v>
      </c>
      <c r="K307" s="3" t="s">
        <v>587</v>
      </c>
      <c r="L307" s="3" t="s">
        <v>587</v>
      </c>
      <c r="M307" s="3" t="s">
        <v>588</v>
      </c>
      <c r="N307" s="3" t="s">
        <v>495</v>
      </c>
      <c r="O307" s="3" t="s">
        <v>285</v>
      </c>
      <c r="P307" s="3" t="s">
        <v>372</v>
      </c>
      <c r="Q307" s="6">
        <v>303</v>
      </c>
      <c r="R307" s="6">
        <v>293910</v>
      </c>
      <c r="S307" s="4">
        <v>89</v>
      </c>
      <c r="T307" s="3" t="s">
        <v>79</v>
      </c>
      <c r="U307" s="4">
        <v>194</v>
      </c>
      <c r="V307" s="3" t="s">
        <v>951</v>
      </c>
      <c r="W307" s="3" t="s">
        <v>952</v>
      </c>
    </row>
    <row r="308" spans="1:23" x14ac:dyDescent="0.3">
      <c r="A308" s="7" t="s">
        <v>928</v>
      </c>
      <c r="B308" s="8" t="s">
        <v>282</v>
      </c>
      <c r="C308" s="8" t="s">
        <v>929</v>
      </c>
      <c r="D308" s="8" t="s">
        <v>953</v>
      </c>
      <c r="E308" s="8">
        <v>183044</v>
      </c>
      <c r="F308" s="9">
        <v>194</v>
      </c>
      <c r="G308" s="10">
        <v>5</v>
      </c>
      <c r="H308" s="10">
        <v>970</v>
      </c>
      <c r="I308" s="8" t="s">
        <v>1366</v>
      </c>
      <c r="J308" s="8" t="s">
        <v>587</v>
      </c>
      <c r="K308" s="8" t="s">
        <v>587</v>
      </c>
      <c r="L308" s="8" t="s">
        <v>587</v>
      </c>
      <c r="M308" s="8" t="s">
        <v>588</v>
      </c>
      <c r="N308" s="8" t="s">
        <v>495</v>
      </c>
      <c r="O308" s="8" t="s">
        <v>285</v>
      </c>
      <c r="P308" s="8" t="s">
        <v>372</v>
      </c>
      <c r="Q308" s="11">
        <v>303</v>
      </c>
      <c r="R308" s="11">
        <v>293910</v>
      </c>
      <c r="S308" s="9">
        <v>89</v>
      </c>
      <c r="T308" s="8" t="s">
        <v>79</v>
      </c>
      <c r="U308" s="9">
        <v>194</v>
      </c>
      <c r="V308" s="8" t="s">
        <v>954</v>
      </c>
      <c r="W308" s="8" t="s">
        <v>955</v>
      </c>
    </row>
    <row r="309" spans="1:23" x14ac:dyDescent="0.3">
      <c r="A309" s="2" t="s">
        <v>928</v>
      </c>
      <c r="B309" s="3" t="s">
        <v>282</v>
      </c>
      <c r="C309" s="3" t="s">
        <v>929</v>
      </c>
      <c r="D309" s="3" t="s">
        <v>956</v>
      </c>
      <c r="E309" s="3">
        <v>183045</v>
      </c>
      <c r="F309" s="4">
        <v>194</v>
      </c>
      <c r="G309" s="5">
        <v>5</v>
      </c>
      <c r="H309" s="5">
        <v>970</v>
      </c>
      <c r="I309" s="3" t="s">
        <v>1366</v>
      </c>
      <c r="J309" s="3" t="s">
        <v>587</v>
      </c>
      <c r="K309" s="3" t="s">
        <v>587</v>
      </c>
      <c r="L309" s="3" t="s">
        <v>587</v>
      </c>
      <c r="M309" s="3" t="s">
        <v>588</v>
      </c>
      <c r="N309" s="3" t="s">
        <v>495</v>
      </c>
      <c r="O309" s="3" t="s">
        <v>285</v>
      </c>
      <c r="P309" s="3" t="s">
        <v>372</v>
      </c>
      <c r="Q309" s="6">
        <v>303</v>
      </c>
      <c r="R309" s="6">
        <v>293910</v>
      </c>
      <c r="S309" s="4">
        <v>89</v>
      </c>
      <c r="T309" s="3" t="s">
        <v>79</v>
      </c>
      <c r="U309" s="4">
        <v>194</v>
      </c>
      <c r="V309" s="3" t="s">
        <v>957</v>
      </c>
      <c r="W309" s="3" t="s">
        <v>129</v>
      </c>
    </row>
    <row r="310" spans="1:23" x14ac:dyDescent="0.3">
      <c r="A310" s="7" t="s">
        <v>928</v>
      </c>
      <c r="B310" s="8" t="s">
        <v>282</v>
      </c>
      <c r="C310" s="8" t="s">
        <v>929</v>
      </c>
      <c r="D310" s="8" t="s">
        <v>958</v>
      </c>
      <c r="E310" s="8">
        <v>183046</v>
      </c>
      <c r="F310" s="9">
        <v>194</v>
      </c>
      <c r="G310" s="10">
        <v>5</v>
      </c>
      <c r="H310" s="10">
        <v>970</v>
      </c>
      <c r="I310" s="8" t="s">
        <v>1366</v>
      </c>
      <c r="J310" s="8" t="s">
        <v>587</v>
      </c>
      <c r="K310" s="8" t="s">
        <v>587</v>
      </c>
      <c r="L310" s="8" t="s">
        <v>587</v>
      </c>
      <c r="M310" s="8" t="s">
        <v>588</v>
      </c>
      <c r="N310" s="8" t="s">
        <v>495</v>
      </c>
      <c r="O310" s="8" t="s">
        <v>285</v>
      </c>
      <c r="P310" s="8" t="s">
        <v>372</v>
      </c>
      <c r="Q310" s="11">
        <v>303</v>
      </c>
      <c r="R310" s="11">
        <v>293910</v>
      </c>
      <c r="S310" s="9">
        <v>89</v>
      </c>
      <c r="T310" s="8" t="s">
        <v>79</v>
      </c>
      <c r="U310" s="9">
        <v>194</v>
      </c>
      <c r="V310" s="8" t="s">
        <v>959</v>
      </c>
      <c r="W310" s="8" t="s">
        <v>960</v>
      </c>
    </row>
    <row r="311" spans="1:23" x14ac:dyDescent="0.3">
      <c r="A311" s="2" t="s">
        <v>928</v>
      </c>
      <c r="B311" s="3" t="s">
        <v>282</v>
      </c>
      <c r="C311" s="3" t="s">
        <v>929</v>
      </c>
      <c r="D311" s="3" t="s">
        <v>961</v>
      </c>
      <c r="E311" s="3">
        <v>183047</v>
      </c>
      <c r="F311" s="4">
        <v>194</v>
      </c>
      <c r="G311" s="5">
        <v>5</v>
      </c>
      <c r="H311" s="5">
        <v>970</v>
      </c>
      <c r="I311" s="3" t="s">
        <v>1366</v>
      </c>
      <c r="J311" s="3" t="s">
        <v>587</v>
      </c>
      <c r="K311" s="3" t="s">
        <v>587</v>
      </c>
      <c r="L311" s="3" t="s">
        <v>587</v>
      </c>
      <c r="M311" s="3" t="s">
        <v>588</v>
      </c>
      <c r="N311" s="3" t="s">
        <v>495</v>
      </c>
      <c r="O311" s="3" t="s">
        <v>285</v>
      </c>
      <c r="P311" s="3" t="s">
        <v>372</v>
      </c>
      <c r="Q311" s="6">
        <v>303</v>
      </c>
      <c r="R311" s="6">
        <v>293910</v>
      </c>
      <c r="S311" s="4">
        <v>89</v>
      </c>
      <c r="T311" s="3" t="s">
        <v>79</v>
      </c>
      <c r="U311" s="4">
        <v>194</v>
      </c>
      <c r="V311" s="3" t="s">
        <v>962</v>
      </c>
      <c r="W311" s="3" t="s">
        <v>131</v>
      </c>
    </row>
    <row r="312" spans="1:23" x14ac:dyDescent="0.3">
      <c r="A312" s="7" t="s">
        <v>928</v>
      </c>
      <c r="B312" s="8" t="s">
        <v>282</v>
      </c>
      <c r="C312" s="8" t="s">
        <v>929</v>
      </c>
      <c r="D312" s="8" t="s">
        <v>963</v>
      </c>
      <c r="E312" s="8">
        <v>183049</v>
      </c>
      <c r="F312" s="9">
        <v>194</v>
      </c>
      <c r="G312" s="10">
        <v>5</v>
      </c>
      <c r="H312" s="10">
        <v>970</v>
      </c>
      <c r="I312" s="8" t="s">
        <v>1366</v>
      </c>
      <c r="J312" s="8" t="s">
        <v>587</v>
      </c>
      <c r="K312" s="8" t="s">
        <v>587</v>
      </c>
      <c r="L312" s="8" t="s">
        <v>587</v>
      </c>
      <c r="M312" s="8" t="s">
        <v>588</v>
      </c>
      <c r="N312" s="8" t="s">
        <v>495</v>
      </c>
      <c r="O312" s="8" t="s">
        <v>285</v>
      </c>
      <c r="P312" s="8" t="s">
        <v>372</v>
      </c>
      <c r="Q312" s="11">
        <v>303</v>
      </c>
      <c r="R312" s="11">
        <v>293910</v>
      </c>
      <c r="S312" s="9">
        <v>89</v>
      </c>
      <c r="T312" s="8" t="s">
        <v>79</v>
      </c>
      <c r="U312" s="9">
        <v>194</v>
      </c>
      <c r="V312" s="8" t="s">
        <v>964</v>
      </c>
      <c r="W312" s="8" t="s">
        <v>965</v>
      </c>
    </row>
    <row r="313" spans="1:23" x14ac:dyDescent="0.3">
      <c r="A313" s="2" t="s">
        <v>928</v>
      </c>
      <c r="B313" s="3" t="s">
        <v>282</v>
      </c>
      <c r="C313" s="3" t="s">
        <v>929</v>
      </c>
      <c r="D313" s="3" t="s">
        <v>966</v>
      </c>
      <c r="E313" s="3">
        <v>183050</v>
      </c>
      <c r="F313" s="4">
        <v>194</v>
      </c>
      <c r="G313" s="5">
        <v>5</v>
      </c>
      <c r="H313" s="5">
        <v>970</v>
      </c>
      <c r="I313" s="3" t="s">
        <v>1366</v>
      </c>
      <c r="J313" s="3" t="s">
        <v>587</v>
      </c>
      <c r="K313" s="3" t="s">
        <v>587</v>
      </c>
      <c r="L313" s="3" t="s">
        <v>587</v>
      </c>
      <c r="M313" s="3" t="s">
        <v>588</v>
      </c>
      <c r="N313" s="3" t="s">
        <v>495</v>
      </c>
      <c r="O313" s="3" t="s">
        <v>285</v>
      </c>
      <c r="P313" s="3" t="s">
        <v>372</v>
      </c>
      <c r="Q313" s="6">
        <v>303</v>
      </c>
      <c r="R313" s="6">
        <v>293910</v>
      </c>
      <c r="S313" s="4">
        <v>89</v>
      </c>
      <c r="T313" s="3" t="s">
        <v>79</v>
      </c>
      <c r="U313" s="4">
        <v>194</v>
      </c>
      <c r="V313" s="3" t="s">
        <v>967</v>
      </c>
      <c r="W313" s="3" t="s">
        <v>968</v>
      </c>
    </row>
    <row r="314" spans="1:23" x14ac:dyDescent="0.3">
      <c r="A314" s="7" t="s">
        <v>928</v>
      </c>
      <c r="B314" s="8" t="s">
        <v>282</v>
      </c>
      <c r="C314" s="8" t="s">
        <v>929</v>
      </c>
      <c r="D314" s="8" t="s">
        <v>969</v>
      </c>
      <c r="E314" s="8">
        <v>183057</v>
      </c>
      <c r="F314" s="9">
        <v>132</v>
      </c>
      <c r="G314" s="10">
        <v>5</v>
      </c>
      <c r="H314" s="10">
        <v>660</v>
      </c>
      <c r="I314" s="8" t="s">
        <v>1366</v>
      </c>
      <c r="J314" s="8" t="s">
        <v>587</v>
      </c>
      <c r="K314" s="8" t="s">
        <v>587</v>
      </c>
      <c r="L314" s="8" t="s">
        <v>587</v>
      </c>
      <c r="M314" s="8" t="s">
        <v>588</v>
      </c>
      <c r="N314" s="8" t="s">
        <v>495</v>
      </c>
      <c r="O314" s="8" t="s">
        <v>285</v>
      </c>
      <c r="P314" s="8" t="s">
        <v>372</v>
      </c>
      <c r="Q314" s="11">
        <v>303</v>
      </c>
      <c r="R314" s="11">
        <v>199980</v>
      </c>
      <c r="S314" s="9">
        <v>89</v>
      </c>
      <c r="T314" s="8" t="s">
        <v>79</v>
      </c>
      <c r="U314" s="9">
        <v>132</v>
      </c>
      <c r="V314" s="8" t="s">
        <v>970</v>
      </c>
      <c r="W314" s="8" t="s">
        <v>135</v>
      </c>
    </row>
    <row r="315" spans="1:23" x14ac:dyDescent="0.3">
      <c r="A315" s="2" t="s">
        <v>928</v>
      </c>
      <c r="B315" s="3" t="s">
        <v>282</v>
      </c>
      <c r="C315" s="3" t="s">
        <v>929</v>
      </c>
      <c r="D315" s="3" t="s">
        <v>971</v>
      </c>
      <c r="E315" s="3">
        <v>183059</v>
      </c>
      <c r="F315" s="4">
        <v>194</v>
      </c>
      <c r="G315" s="5">
        <v>5</v>
      </c>
      <c r="H315" s="5">
        <v>970</v>
      </c>
      <c r="I315" s="3" t="s">
        <v>1366</v>
      </c>
      <c r="J315" s="3" t="s">
        <v>587</v>
      </c>
      <c r="K315" s="3" t="s">
        <v>587</v>
      </c>
      <c r="L315" s="3" t="s">
        <v>587</v>
      </c>
      <c r="M315" s="3" t="s">
        <v>588</v>
      </c>
      <c r="N315" s="3" t="s">
        <v>495</v>
      </c>
      <c r="O315" s="3" t="s">
        <v>285</v>
      </c>
      <c r="P315" s="3" t="s">
        <v>372</v>
      </c>
      <c r="Q315" s="6">
        <v>303</v>
      </c>
      <c r="R315" s="6">
        <v>293910</v>
      </c>
      <c r="S315" s="4">
        <v>89</v>
      </c>
      <c r="T315" s="3" t="s">
        <v>79</v>
      </c>
      <c r="U315" s="4">
        <v>194</v>
      </c>
      <c r="V315" s="3" t="s">
        <v>972</v>
      </c>
      <c r="W315" s="3" t="s">
        <v>973</v>
      </c>
    </row>
    <row r="316" spans="1:23" x14ac:dyDescent="0.3">
      <c r="A316" s="7" t="s">
        <v>974</v>
      </c>
      <c r="B316" s="8" t="s">
        <v>282</v>
      </c>
      <c r="C316" s="8" t="s">
        <v>975</v>
      </c>
      <c r="D316" s="8" t="s">
        <v>976</v>
      </c>
      <c r="E316" s="8">
        <v>183172</v>
      </c>
      <c r="F316" s="9">
        <v>9</v>
      </c>
      <c r="G316" s="10">
        <v>13.6</v>
      </c>
      <c r="H316" s="10">
        <v>122.4</v>
      </c>
      <c r="I316" s="8" t="s">
        <v>1378</v>
      </c>
      <c r="J316" s="8" t="s">
        <v>567</v>
      </c>
      <c r="K316" s="8" t="s">
        <v>565</v>
      </c>
      <c r="L316" s="8" t="s">
        <v>566</v>
      </c>
      <c r="M316" s="8" t="s">
        <v>567</v>
      </c>
      <c r="N316" s="8" t="s">
        <v>495</v>
      </c>
      <c r="O316" s="8" t="s">
        <v>285</v>
      </c>
      <c r="P316" s="8">
        <v>0</v>
      </c>
      <c r="Q316" s="11">
        <v>1380</v>
      </c>
      <c r="R316" s="11">
        <v>168912</v>
      </c>
      <c r="S316" s="9">
        <v>88</v>
      </c>
      <c r="T316" s="8" t="s">
        <v>79</v>
      </c>
      <c r="U316" s="9">
        <v>9</v>
      </c>
      <c r="V316" s="8" t="s">
        <v>977</v>
      </c>
      <c r="W316" s="8" t="s">
        <v>150</v>
      </c>
    </row>
    <row r="317" spans="1:23" x14ac:dyDescent="0.3">
      <c r="A317" s="2" t="s">
        <v>974</v>
      </c>
      <c r="B317" s="3" t="s">
        <v>282</v>
      </c>
      <c r="C317" s="3" t="s">
        <v>975</v>
      </c>
      <c r="D317" s="3" t="s">
        <v>978</v>
      </c>
      <c r="E317" s="3">
        <v>183174</v>
      </c>
      <c r="F317" s="4">
        <v>2</v>
      </c>
      <c r="G317" s="5">
        <v>10</v>
      </c>
      <c r="H317" s="5">
        <v>20</v>
      </c>
      <c r="I317" s="3" t="s">
        <v>1378</v>
      </c>
      <c r="J317" s="3" t="s">
        <v>1379</v>
      </c>
      <c r="K317" s="3" t="s">
        <v>861</v>
      </c>
      <c r="L317" s="3" t="s">
        <v>861</v>
      </c>
      <c r="M317" s="3" t="s">
        <v>862</v>
      </c>
      <c r="N317" s="3" t="s">
        <v>495</v>
      </c>
      <c r="O317" s="3" t="s">
        <v>285</v>
      </c>
      <c r="P317" s="3" t="s">
        <v>513</v>
      </c>
      <c r="Q317" s="6">
        <v>1785</v>
      </c>
      <c r="R317" s="6">
        <v>35700</v>
      </c>
      <c r="S317" s="4">
        <v>88</v>
      </c>
      <c r="T317" s="3" t="s">
        <v>79</v>
      </c>
      <c r="U317" s="4">
        <v>2</v>
      </c>
      <c r="V317" s="3" t="s">
        <v>979</v>
      </c>
      <c r="W317" s="3" t="s">
        <v>154</v>
      </c>
    </row>
    <row r="318" spans="1:23" x14ac:dyDescent="0.3">
      <c r="A318" s="7" t="s">
        <v>974</v>
      </c>
      <c r="B318" s="8" t="s">
        <v>282</v>
      </c>
      <c r="C318" s="8" t="s">
        <v>975</v>
      </c>
      <c r="D318" s="8" t="s">
        <v>980</v>
      </c>
      <c r="E318" s="8">
        <v>183175</v>
      </c>
      <c r="F318" s="9">
        <v>2</v>
      </c>
      <c r="G318" s="10">
        <v>10</v>
      </c>
      <c r="H318" s="10">
        <v>20</v>
      </c>
      <c r="I318" s="8" t="s">
        <v>1378</v>
      </c>
      <c r="J318" s="8" t="s">
        <v>1379</v>
      </c>
      <c r="K318" s="8" t="s">
        <v>855</v>
      </c>
      <c r="L318" s="8" t="s">
        <v>856</v>
      </c>
      <c r="M318" s="8" t="s">
        <v>857</v>
      </c>
      <c r="N318" s="8" t="s">
        <v>495</v>
      </c>
      <c r="O318" s="8" t="s">
        <v>285</v>
      </c>
      <c r="P318" s="8" t="s">
        <v>513</v>
      </c>
      <c r="Q318" s="11">
        <v>1785</v>
      </c>
      <c r="R318" s="11">
        <v>35700</v>
      </c>
      <c r="S318" s="9">
        <v>88</v>
      </c>
      <c r="T318" s="8" t="s">
        <v>79</v>
      </c>
      <c r="U318" s="9">
        <v>2</v>
      </c>
      <c r="V318" s="8" t="s">
        <v>981</v>
      </c>
      <c r="W318" s="8" t="s">
        <v>156</v>
      </c>
    </row>
    <row r="319" spans="1:23" x14ac:dyDescent="0.3">
      <c r="A319" s="2" t="s">
        <v>974</v>
      </c>
      <c r="B319" s="3" t="s">
        <v>282</v>
      </c>
      <c r="C319" s="3" t="s">
        <v>975</v>
      </c>
      <c r="D319" s="3" t="s">
        <v>982</v>
      </c>
      <c r="E319" s="3">
        <v>183176</v>
      </c>
      <c r="F319" s="4">
        <v>2</v>
      </c>
      <c r="G319" s="5">
        <v>10</v>
      </c>
      <c r="H319" s="5">
        <v>20</v>
      </c>
      <c r="I319" s="3" t="s">
        <v>1378</v>
      </c>
      <c r="J319" s="3" t="s">
        <v>1379</v>
      </c>
      <c r="K319" s="3" t="s">
        <v>866</v>
      </c>
      <c r="L319" s="3" t="s">
        <v>866</v>
      </c>
      <c r="M319" s="3" t="s">
        <v>867</v>
      </c>
      <c r="N319" s="3" t="s">
        <v>495</v>
      </c>
      <c r="O319" s="3" t="s">
        <v>285</v>
      </c>
      <c r="P319" s="3" t="s">
        <v>513</v>
      </c>
      <c r="Q319" s="6">
        <v>1785</v>
      </c>
      <c r="R319" s="6">
        <v>35700</v>
      </c>
      <c r="S319" s="4">
        <v>88</v>
      </c>
      <c r="T319" s="3" t="s">
        <v>79</v>
      </c>
      <c r="U319" s="4">
        <v>2</v>
      </c>
      <c r="V319" s="3" t="s">
        <v>983</v>
      </c>
      <c r="W319" s="3" t="s">
        <v>158</v>
      </c>
    </row>
    <row r="320" spans="1:23" x14ac:dyDescent="0.3">
      <c r="A320" s="7" t="s">
        <v>974</v>
      </c>
      <c r="B320" s="8" t="s">
        <v>282</v>
      </c>
      <c r="C320" s="8" t="s">
        <v>975</v>
      </c>
      <c r="D320" s="8" t="s">
        <v>984</v>
      </c>
      <c r="E320" s="8">
        <v>183177</v>
      </c>
      <c r="F320" s="9">
        <v>1</v>
      </c>
      <c r="G320" s="10">
        <v>10</v>
      </c>
      <c r="H320" s="10">
        <v>10</v>
      </c>
      <c r="I320" s="8" t="s">
        <v>1378</v>
      </c>
      <c r="J320" s="8" t="s">
        <v>1379</v>
      </c>
      <c r="K320" s="8" t="s">
        <v>511</v>
      </c>
      <c r="L320" s="8" t="s">
        <v>511</v>
      </c>
      <c r="M320" s="8" t="s">
        <v>512</v>
      </c>
      <c r="N320" s="8" t="s">
        <v>495</v>
      </c>
      <c r="O320" s="8" t="s">
        <v>285</v>
      </c>
      <c r="P320" s="8" t="s">
        <v>513</v>
      </c>
      <c r="Q320" s="11">
        <v>910</v>
      </c>
      <c r="R320" s="11">
        <v>9100</v>
      </c>
      <c r="S320" s="9">
        <v>88</v>
      </c>
      <c r="T320" s="8" t="s">
        <v>79</v>
      </c>
      <c r="U320" s="9">
        <v>1</v>
      </c>
      <c r="V320" s="8" t="s">
        <v>985</v>
      </c>
      <c r="W320" s="8" t="s">
        <v>160</v>
      </c>
    </row>
    <row r="321" spans="1:23" x14ac:dyDescent="0.3">
      <c r="A321" s="2" t="s">
        <v>986</v>
      </c>
      <c r="B321" s="3" t="s">
        <v>282</v>
      </c>
      <c r="C321" s="3" t="s">
        <v>987</v>
      </c>
      <c r="D321" s="3" t="s">
        <v>988</v>
      </c>
      <c r="E321" s="3">
        <v>183833</v>
      </c>
      <c r="F321" s="4">
        <v>72</v>
      </c>
      <c r="G321" s="5">
        <v>11.34</v>
      </c>
      <c r="H321" s="5">
        <v>816.48</v>
      </c>
      <c r="I321" s="3" t="s">
        <v>1381</v>
      </c>
      <c r="J321" s="3" t="s">
        <v>1389</v>
      </c>
      <c r="K321" s="3" t="s">
        <v>572</v>
      </c>
      <c r="L321" s="3" t="s">
        <v>572</v>
      </c>
      <c r="M321" s="3" t="s">
        <v>574</v>
      </c>
      <c r="N321" s="3" t="s">
        <v>495</v>
      </c>
      <c r="O321" s="3" t="s">
        <v>285</v>
      </c>
      <c r="P321" s="3" t="s">
        <v>28</v>
      </c>
      <c r="Q321" s="6">
        <v>385</v>
      </c>
      <c r="R321" s="6">
        <v>314344.8</v>
      </c>
      <c r="S321" s="4">
        <v>81</v>
      </c>
      <c r="T321" s="3" t="s">
        <v>79</v>
      </c>
      <c r="U321" s="4">
        <v>72</v>
      </c>
      <c r="V321" s="3" t="s">
        <v>989</v>
      </c>
      <c r="W321" s="3" t="s">
        <v>990</v>
      </c>
    </row>
    <row r="322" spans="1:23" x14ac:dyDescent="0.3">
      <c r="A322" s="7" t="s">
        <v>991</v>
      </c>
      <c r="B322" s="8" t="s">
        <v>282</v>
      </c>
      <c r="C322" s="8" t="s">
        <v>992</v>
      </c>
      <c r="D322" s="8" t="s">
        <v>993</v>
      </c>
      <c r="E322" s="8">
        <v>184766</v>
      </c>
      <c r="F322" s="9">
        <v>714</v>
      </c>
      <c r="G322" s="10">
        <v>11.35</v>
      </c>
      <c r="H322" s="10">
        <v>8103.9</v>
      </c>
      <c r="I322" s="8" t="s">
        <v>1384</v>
      </c>
      <c r="J322" s="8" t="s">
        <v>1385</v>
      </c>
      <c r="K322" s="8" t="s">
        <v>549</v>
      </c>
      <c r="L322" s="8" t="s">
        <v>627</v>
      </c>
      <c r="M322" s="8" t="s">
        <v>551</v>
      </c>
      <c r="N322" s="8" t="s">
        <v>495</v>
      </c>
      <c r="O322" s="8" t="s">
        <v>285</v>
      </c>
      <c r="P322" s="8" t="s">
        <v>628</v>
      </c>
      <c r="Q322" s="11">
        <v>971</v>
      </c>
      <c r="R322" s="11">
        <v>7868886.9000000004</v>
      </c>
      <c r="S322" s="9">
        <v>74</v>
      </c>
      <c r="T322" s="8" t="s">
        <v>79</v>
      </c>
      <c r="U322" s="9">
        <v>714</v>
      </c>
      <c r="V322" s="8" t="s">
        <v>994</v>
      </c>
      <c r="W322" s="8" t="s">
        <v>995</v>
      </c>
    </row>
    <row r="323" spans="1:23" x14ac:dyDescent="0.3">
      <c r="A323" s="2" t="s">
        <v>991</v>
      </c>
      <c r="B323" s="3" t="s">
        <v>282</v>
      </c>
      <c r="C323" s="3" t="s">
        <v>992</v>
      </c>
      <c r="D323" s="3" t="s">
        <v>383</v>
      </c>
      <c r="E323" s="3">
        <v>184767</v>
      </c>
      <c r="F323" s="4">
        <v>76</v>
      </c>
      <c r="G323" s="5">
        <v>11.182</v>
      </c>
      <c r="H323" s="5">
        <v>849.83199999999999</v>
      </c>
      <c r="I323" s="3" t="s">
        <v>1384</v>
      </c>
      <c r="J323" s="3" t="s">
        <v>1385</v>
      </c>
      <c r="K323" s="3" t="s">
        <v>549</v>
      </c>
      <c r="L323" s="3" t="s">
        <v>627</v>
      </c>
      <c r="M323" s="3" t="s">
        <v>551</v>
      </c>
      <c r="N323" s="3" t="s">
        <v>495</v>
      </c>
      <c r="O323" s="3" t="s">
        <v>285</v>
      </c>
      <c r="P323" s="3" t="s">
        <v>628</v>
      </c>
      <c r="Q323" s="6">
        <v>971</v>
      </c>
      <c r="R323" s="6">
        <v>825186.87199999997</v>
      </c>
      <c r="S323" s="4">
        <v>74</v>
      </c>
      <c r="T323" s="3" t="s">
        <v>79</v>
      </c>
      <c r="U323" s="4">
        <v>76</v>
      </c>
      <c r="V323" s="3" t="s">
        <v>996</v>
      </c>
      <c r="W323" s="3" t="s">
        <v>997</v>
      </c>
    </row>
    <row r="324" spans="1:23" x14ac:dyDescent="0.3">
      <c r="A324" s="7" t="s">
        <v>998</v>
      </c>
      <c r="B324" s="8" t="s">
        <v>282</v>
      </c>
      <c r="C324" s="8" t="s">
        <v>999</v>
      </c>
      <c r="D324" s="8" t="s">
        <v>284</v>
      </c>
      <c r="E324" s="8">
        <v>185886</v>
      </c>
      <c r="F324" s="9">
        <v>66</v>
      </c>
      <c r="G324" s="10">
        <v>15</v>
      </c>
      <c r="H324" s="10">
        <v>990</v>
      </c>
      <c r="I324" s="8" t="s">
        <v>1376</v>
      </c>
      <c r="J324" s="8" t="s">
        <v>1377</v>
      </c>
      <c r="K324" s="8" t="s">
        <v>492</v>
      </c>
      <c r="L324" s="8" t="s">
        <v>493</v>
      </c>
      <c r="M324" s="8" t="s">
        <v>494</v>
      </c>
      <c r="N324" s="8" t="s">
        <v>495</v>
      </c>
      <c r="O324" s="8" t="s">
        <v>285</v>
      </c>
      <c r="P324" s="8" t="s">
        <v>28</v>
      </c>
      <c r="Q324" s="11">
        <v>351</v>
      </c>
      <c r="R324" s="11">
        <v>347490</v>
      </c>
      <c r="S324" s="9">
        <v>63</v>
      </c>
      <c r="T324" s="8" t="s">
        <v>79</v>
      </c>
      <c r="U324" s="9">
        <v>66</v>
      </c>
      <c r="V324" s="8" t="e">
        <f>VLOOKUP(E324,'[1]Consolidated Stock'!$E:$V,18,0)</f>
        <v>#N/A</v>
      </c>
      <c r="W324" s="8" t="s">
        <v>1000</v>
      </c>
    </row>
    <row r="325" spans="1:23" x14ac:dyDescent="0.3">
      <c r="A325" s="2" t="s">
        <v>998</v>
      </c>
      <c r="B325" s="3" t="s">
        <v>282</v>
      </c>
      <c r="C325" s="3" t="s">
        <v>999</v>
      </c>
      <c r="D325" s="3" t="s">
        <v>284</v>
      </c>
      <c r="E325" s="3">
        <v>185888</v>
      </c>
      <c r="F325" s="4">
        <v>27</v>
      </c>
      <c r="G325" s="5">
        <v>15</v>
      </c>
      <c r="H325" s="5">
        <v>405</v>
      </c>
      <c r="I325" s="3" t="s">
        <v>1376</v>
      </c>
      <c r="J325" s="3" t="s">
        <v>1377</v>
      </c>
      <c r="K325" s="3" t="s">
        <v>492</v>
      </c>
      <c r="L325" s="3" t="s">
        <v>493</v>
      </c>
      <c r="M325" s="3" t="s">
        <v>494</v>
      </c>
      <c r="N325" s="3" t="s">
        <v>495</v>
      </c>
      <c r="O325" s="3" t="s">
        <v>285</v>
      </c>
      <c r="P325" s="3" t="s">
        <v>28</v>
      </c>
      <c r="Q325" s="6">
        <v>362</v>
      </c>
      <c r="R325" s="6">
        <v>146610</v>
      </c>
      <c r="S325" s="4">
        <v>63</v>
      </c>
      <c r="T325" s="3" t="s">
        <v>79</v>
      </c>
      <c r="U325" s="4">
        <v>27</v>
      </c>
      <c r="V325" s="3" t="e">
        <f>VLOOKUP(E325,'[1]Consolidated Stock'!$E:$V,18,0)</f>
        <v>#N/A</v>
      </c>
      <c r="W325" s="3" t="s">
        <v>236</v>
      </c>
    </row>
    <row r="326" spans="1:23" x14ac:dyDescent="0.3">
      <c r="A326" s="7" t="s">
        <v>998</v>
      </c>
      <c r="B326" s="8" t="s">
        <v>282</v>
      </c>
      <c r="C326" s="8" t="s">
        <v>999</v>
      </c>
      <c r="D326" s="8" t="s">
        <v>284</v>
      </c>
      <c r="E326" s="8">
        <v>185889</v>
      </c>
      <c r="F326" s="9">
        <v>43</v>
      </c>
      <c r="G326" s="10">
        <v>15</v>
      </c>
      <c r="H326" s="10">
        <v>645</v>
      </c>
      <c r="I326" s="8" t="s">
        <v>1376</v>
      </c>
      <c r="J326" s="8" t="s">
        <v>1377</v>
      </c>
      <c r="K326" s="8" t="s">
        <v>492</v>
      </c>
      <c r="L326" s="8" t="s">
        <v>493</v>
      </c>
      <c r="M326" s="8" t="s">
        <v>494</v>
      </c>
      <c r="N326" s="8" t="s">
        <v>495</v>
      </c>
      <c r="O326" s="8" t="s">
        <v>285</v>
      </c>
      <c r="P326" s="8" t="s">
        <v>28</v>
      </c>
      <c r="Q326" s="11">
        <v>351</v>
      </c>
      <c r="R326" s="11">
        <v>226395</v>
      </c>
      <c r="S326" s="9">
        <v>63</v>
      </c>
      <c r="T326" s="8" t="s">
        <v>79</v>
      </c>
      <c r="U326" s="9">
        <v>43</v>
      </c>
      <c r="V326" s="8" t="e">
        <f>VLOOKUP(E326,'[1]Consolidated Stock'!$E:$V,18,0)</f>
        <v>#N/A</v>
      </c>
      <c r="W326" s="8" t="s">
        <v>233</v>
      </c>
    </row>
    <row r="327" spans="1:23" x14ac:dyDescent="0.3">
      <c r="A327" s="2" t="s">
        <v>998</v>
      </c>
      <c r="B327" s="3" t="s">
        <v>282</v>
      </c>
      <c r="C327" s="3" t="s">
        <v>999</v>
      </c>
      <c r="D327" s="3" t="s">
        <v>284</v>
      </c>
      <c r="E327" s="3">
        <v>185893</v>
      </c>
      <c r="F327" s="4">
        <v>6</v>
      </c>
      <c r="G327" s="5">
        <v>15</v>
      </c>
      <c r="H327" s="5">
        <v>90</v>
      </c>
      <c r="I327" s="3" t="s">
        <v>1376</v>
      </c>
      <c r="J327" s="3" t="s">
        <v>1377</v>
      </c>
      <c r="K327" s="3" t="s">
        <v>492</v>
      </c>
      <c r="L327" s="3" t="s">
        <v>493</v>
      </c>
      <c r="M327" s="3" t="s">
        <v>494</v>
      </c>
      <c r="N327" s="3" t="s">
        <v>495</v>
      </c>
      <c r="O327" s="3" t="s">
        <v>285</v>
      </c>
      <c r="P327" s="3" t="s">
        <v>28</v>
      </c>
      <c r="Q327" s="6">
        <v>347</v>
      </c>
      <c r="R327" s="6">
        <v>31230</v>
      </c>
      <c r="S327" s="4">
        <v>63</v>
      </c>
      <c r="T327" s="3" t="s">
        <v>79</v>
      </c>
      <c r="U327" s="4">
        <v>6</v>
      </c>
      <c r="V327" s="3" t="e">
        <f>VLOOKUP(E327,'[1]Consolidated Stock'!$E:$V,18,0)</f>
        <v>#N/A</v>
      </c>
      <c r="W327" s="3" t="s">
        <v>1001</v>
      </c>
    </row>
    <row r="328" spans="1:23" x14ac:dyDescent="0.3">
      <c r="A328" s="7" t="s">
        <v>998</v>
      </c>
      <c r="B328" s="8" t="s">
        <v>282</v>
      </c>
      <c r="C328" s="8" t="s">
        <v>999</v>
      </c>
      <c r="D328" s="8" t="s">
        <v>284</v>
      </c>
      <c r="E328" s="8">
        <v>185894</v>
      </c>
      <c r="F328" s="9">
        <v>44</v>
      </c>
      <c r="G328" s="10">
        <v>15</v>
      </c>
      <c r="H328" s="10">
        <v>660</v>
      </c>
      <c r="I328" s="8" t="s">
        <v>1376</v>
      </c>
      <c r="J328" s="8" t="s">
        <v>1377</v>
      </c>
      <c r="K328" s="8" t="s">
        <v>492</v>
      </c>
      <c r="L328" s="8" t="s">
        <v>493</v>
      </c>
      <c r="M328" s="8" t="s">
        <v>494</v>
      </c>
      <c r="N328" s="8" t="s">
        <v>495</v>
      </c>
      <c r="O328" s="8" t="s">
        <v>285</v>
      </c>
      <c r="P328" s="8" t="s">
        <v>28</v>
      </c>
      <c r="Q328" s="11">
        <v>349</v>
      </c>
      <c r="R328" s="11">
        <v>230340</v>
      </c>
      <c r="S328" s="9">
        <v>63</v>
      </c>
      <c r="T328" s="8" t="s">
        <v>79</v>
      </c>
      <c r="U328" s="9">
        <v>44</v>
      </c>
      <c r="V328" s="8" t="e">
        <f>VLOOKUP(E328,'[1]Consolidated Stock'!$E:$V,18,0)</f>
        <v>#N/A</v>
      </c>
      <c r="W328" s="8" t="s">
        <v>1002</v>
      </c>
    </row>
    <row r="329" spans="1:23" x14ac:dyDescent="0.3">
      <c r="A329" s="2" t="s">
        <v>998</v>
      </c>
      <c r="B329" s="3" t="s">
        <v>282</v>
      </c>
      <c r="C329" s="3" t="s">
        <v>999</v>
      </c>
      <c r="D329" s="3" t="s">
        <v>284</v>
      </c>
      <c r="E329" s="3">
        <v>185900</v>
      </c>
      <c r="F329" s="4">
        <v>15</v>
      </c>
      <c r="G329" s="5">
        <v>15</v>
      </c>
      <c r="H329" s="5">
        <v>225</v>
      </c>
      <c r="I329" s="3" t="s">
        <v>1376</v>
      </c>
      <c r="J329" s="3" t="s">
        <v>1377</v>
      </c>
      <c r="K329" s="3" t="s">
        <v>492</v>
      </c>
      <c r="L329" s="3" t="s">
        <v>493</v>
      </c>
      <c r="M329" s="3" t="s">
        <v>494</v>
      </c>
      <c r="N329" s="3" t="s">
        <v>495</v>
      </c>
      <c r="O329" s="3" t="s">
        <v>285</v>
      </c>
      <c r="P329" s="3" t="s">
        <v>28</v>
      </c>
      <c r="Q329" s="6">
        <v>362</v>
      </c>
      <c r="R329" s="6">
        <v>81450</v>
      </c>
      <c r="S329" s="4">
        <v>63</v>
      </c>
      <c r="T329" s="3" t="s">
        <v>79</v>
      </c>
      <c r="U329" s="4">
        <v>15</v>
      </c>
      <c r="V329" s="3" t="e">
        <f>VLOOKUP(E329,'[1]Consolidated Stock'!$E:$V,18,0)</f>
        <v>#N/A</v>
      </c>
      <c r="W329" s="3" t="s">
        <v>205</v>
      </c>
    </row>
    <row r="330" spans="1:23" x14ac:dyDescent="0.3">
      <c r="A330" s="7" t="s">
        <v>998</v>
      </c>
      <c r="B330" s="8" t="s">
        <v>282</v>
      </c>
      <c r="C330" s="8" t="s">
        <v>999</v>
      </c>
      <c r="D330" s="8" t="s">
        <v>284</v>
      </c>
      <c r="E330" s="8">
        <v>185902</v>
      </c>
      <c r="F330" s="9">
        <v>16</v>
      </c>
      <c r="G330" s="10">
        <v>15</v>
      </c>
      <c r="H330" s="10">
        <v>240</v>
      </c>
      <c r="I330" s="8" t="s">
        <v>1376</v>
      </c>
      <c r="J330" s="8" t="s">
        <v>1377</v>
      </c>
      <c r="K330" s="8" t="s">
        <v>492</v>
      </c>
      <c r="L330" s="8" t="s">
        <v>493</v>
      </c>
      <c r="M330" s="8" t="s">
        <v>494</v>
      </c>
      <c r="N330" s="8" t="s">
        <v>495</v>
      </c>
      <c r="O330" s="8" t="s">
        <v>285</v>
      </c>
      <c r="P330" s="8" t="s">
        <v>28</v>
      </c>
      <c r="Q330" s="11">
        <v>356</v>
      </c>
      <c r="R330" s="11">
        <v>85440</v>
      </c>
      <c r="S330" s="9">
        <v>63</v>
      </c>
      <c r="T330" s="8" t="s">
        <v>79</v>
      </c>
      <c r="U330" s="9">
        <v>16</v>
      </c>
      <c r="V330" s="8" t="e">
        <f>VLOOKUP(E330,'[1]Consolidated Stock'!$E:$V,18,0)</f>
        <v>#N/A</v>
      </c>
      <c r="W330" s="8" t="s">
        <v>211</v>
      </c>
    </row>
    <row r="331" spans="1:23" x14ac:dyDescent="0.3">
      <c r="A331" s="2" t="s">
        <v>998</v>
      </c>
      <c r="B331" s="3" t="s">
        <v>282</v>
      </c>
      <c r="C331" s="3" t="s">
        <v>999</v>
      </c>
      <c r="D331" s="3" t="s">
        <v>284</v>
      </c>
      <c r="E331" s="3">
        <v>185903</v>
      </c>
      <c r="F331" s="4">
        <v>13</v>
      </c>
      <c r="G331" s="5">
        <v>15</v>
      </c>
      <c r="H331" s="5">
        <v>195</v>
      </c>
      <c r="I331" s="3" t="s">
        <v>1376</v>
      </c>
      <c r="J331" s="3" t="s">
        <v>1377</v>
      </c>
      <c r="K331" s="3" t="s">
        <v>492</v>
      </c>
      <c r="L331" s="3" t="s">
        <v>493</v>
      </c>
      <c r="M331" s="3" t="s">
        <v>494</v>
      </c>
      <c r="N331" s="3" t="s">
        <v>495</v>
      </c>
      <c r="O331" s="3" t="s">
        <v>285</v>
      </c>
      <c r="P331" s="3" t="s">
        <v>28</v>
      </c>
      <c r="Q331" s="6">
        <v>347</v>
      </c>
      <c r="R331" s="6">
        <v>67665</v>
      </c>
      <c r="S331" s="4">
        <v>63</v>
      </c>
      <c r="T331" s="3" t="s">
        <v>79</v>
      </c>
      <c r="U331" s="4">
        <v>13</v>
      </c>
      <c r="V331" s="3" t="e">
        <f>VLOOKUP(E331,'[1]Consolidated Stock'!$E:$V,18,0)</f>
        <v>#N/A</v>
      </c>
      <c r="W331" s="3" t="s">
        <v>214</v>
      </c>
    </row>
    <row r="332" spans="1:23" x14ac:dyDescent="0.3">
      <c r="A332" s="7" t="s">
        <v>998</v>
      </c>
      <c r="B332" s="8" t="s">
        <v>282</v>
      </c>
      <c r="C332" s="8" t="s">
        <v>999</v>
      </c>
      <c r="D332" s="8" t="s">
        <v>284</v>
      </c>
      <c r="E332" s="8">
        <v>185904</v>
      </c>
      <c r="F332" s="9">
        <v>27</v>
      </c>
      <c r="G332" s="10">
        <v>15</v>
      </c>
      <c r="H332" s="10">
        <v>405</v>
      </c>
      <c r="I332" s="8" t="s">
        <v>1376</v>
      </c>
      <c r="J332" s="8" t="s">
        <v>1377</v>
      </c>
      <c r="K332" s="8" t="s">
        <v>492</v>
      </c>
      <c r="L332" s="8" t="s">
        <v>493</v>
      </c>
      <c r="M332" s="8" t="s">
        <v>494</v>
      </c>
      <c r="N332" s="8" t="s">
        <v>495</v>
      </c>
      <c r="O332" s="8" t="s">
        <v>285</v>
      </c>
      <c r="P332" s="8" t="s">
        <v>28</v>
      </c>
      <c r="Q332" s="11">
        <v>351</v>
      </c>
      <c r="R332" s="11">
        <v>142155</v>
      </c>
      <c r="S332" s="9">
        <v>63</v>
      </c>
      <c r="T332" s="8" t="s">
        <v>79</v>
      </c>
      <c r="U332" s="9">
        <v>27</v>
      </c>
      <c r="V332" s="8" t="e">
        <f>VLOOKUP(E332,'[1]Consolidated Stock'!$E:$V,18,0)</f>
        <v>#N/A</v>
      </c>
      <c r="W332" s="8" t="s">
        <v>217</v>
      </c>
    </row>
    <row r="333" spans="1:23" x14ac:dyDescent="0.3">
      <c r="A333" s="2" t="s">
        <v>998</v>
      </c>
      <c r="B333" s="3" t="s">
        <v>282</v>
      </c>
      <c r="C333" s="3" t="s">
        <v>999</v>
      </c>
      <c r="D333" s="3" t="s">
        <v>284</v>
      </c>
      <c r="E333" s="3">
        <v>185905</v>
      </c>
      <c r="F333" s="4">
        <v>18</v>
      </c>
      <c r="G333" s="5">
        <v>15</v>
      </c>
      <c r="H333" s="5">
        <v>270</v>
      </c>
      <c r="I333" s="3" t="s">
        <v>1376</v>
      </c>
      <c r="J333" s="3" t="s">
        <v>1377</v>
      </c>
      <c r="K333" s="3" t="s">
        <v>492</v>
      </c>
      <c r="L333" s="3" t="s">
        <v>493</v>
      </c>
      <c r="M333" s="3" t="s">
        <v>494</v>
      </c>
      <c r="N333" s="3" t="s">
        <v>495</v>
      </c>
      <c r="O333" s="3" t="s">
        <v>285</v>
      </c>
      <c r="P333" s="3" t="s">
        <v>28</v>
      </c>
      <c r="Q333" s="6">
        <v>349</v>
      </c>
      <c r="R333" s="6">
        <v>94230</v>
      </c>
      <c r="S333" s="4">
        <v>63</v>
      </c>
      <c r="T333" s="3" t="s">
        <v>79</v>
      </c>
      <c r="U333" s="4">
        <v>18</v>
      </c>
      <c r="V333" s="3" t="e">
        <f>VLOOKUP(E333,'[1]Consolidated Stock'!$E:$V,18,0)</f>
        <v>#N/A</v>
      </c>
      <c r="W333" s="3" t="s">
        <v>220</v>
      </c>
    </row>
    <row r="334" spans="1:23" x14ac:dyDescent="0.3">
      <c r="A334" s="7" t="s">
        <v>1003</v>
      </c>
      <c r="B334" s="8" t="s">
        <v>282</v>
      </c>
      <c r="C334" s="8" t="s">
        <v>1004</v>
      </c>
      <c r="D334" s="8" t="s">
        <v>1005</v>
      </c>
      <c r="E334" s="8">
        <v>186055</v>
      </c>
      <c r="F334" s="9">
        <v>545</v>
      </c>
      <c r="G334" s="10">
        <v>11.34</v>
      </c>
      <c r="H334" s="10">
        <v>6180.3</v>
      </c>
      <c r="I334" s="8" t="s">
        <v>1381</v>
      </c>
      <c r="J334" s="8" t="s">
        <v>1389</v>
      </c>
      <c r="K334" s="8" t="s">
        <v>572</v>
      </c>
      <c r="L334" s="8" t="s">
        <v>1006</v>
      </c>
      <c r="M334" s="8" t="s">
        <v>574</v>
      </c>
      <c r="N334" s="8" t="s">
        <v>495</v>
      </c>
      <c r="O334" s="8" t="s">
        <v>285</v>
      </c>
      <c r="P334" s="8" t="s">
        <v>575</v>
      </c>
      <c r="Q334" s="11">
        <v>390</v>
      </c>
      <c r="R334" s="11">
        <v>2410317</v>
      </c>
      <c r="S334" s="9">
        <v>61</v>
      </c>
      <c r="T334" s="8" t="s">
        <v>79</v>
      </c>
      <c r="U334" s="9">
        <v>545</v>
      </c>
      <c r="V334" s="8" t="s">
        <v>1007</v>
      </c>
      <c r="W334" s="8" t="s">
        <v>1008</v>
      </c>
    </row>
    <row r="335" spans="1:23" x14ac:dyDescent="0.3">
      <c r="A335" s="2" t="s">
        <v>1003</v>
      </c>
      <c r="B335" s="3" t="s">
        <v>282</v>
      </c>
      <c r="C335" s="3" t="s">
        <v>1004</v>
      </c>
      <c r="D335" s="3" t="s">
        <v>988</v>
      </c>
      <c r="E335" s="3">
        <v>186094</v>
      </c>
      <c r="F335" s="4">
        <v>155</v>
      </c>
      <c r="G335" s="5">
        <v>11.44</v>
      </c>
      <c r="H335" s="5">
        <v>1773.2</v>
      </c>
      <c r="I335" s="3" t="s">
        <v>1381</v>
      </c>
      <c r="J335" s="3" t="s">
        <v>1389</v>
      </c>
      <c r="K335" s="3" t="s">
        <v>572</v>
      </c>
      <c r="L335" s="3" t="s">
        <v>1009</v>
      </c>
      <c r="M335" s="3" t="s">
        <v>574</v>
      </c>
      <c r="N335" s="3" t="s">
        <v>495</v>
      </c>
      <c r="O335" s="3" t="s">
        <v>285</v>
      </c>
      <c r="P335" s="3" t="s">
        <v>575</v>
      </c>
      <c r="Q335" s="6">
        <v>390</v>
      </c>
      <c r="R335" s="6">
        <v>691548</v>
      </c>
      <c r="S335" s="4">
        <v>61</v>
      </c>
      <c r="T335" s="3" t="s">
        <v>79</v>
      </c>
      <c r="U335" s="4">
        <v>155</v>
      </c>
      <c r="V335" s="3" t="s">
        <v>1010</v>
      </c>
      <c r="W335" s="3" t="s">
        <v>1011</v>
      </c>
    </row>
    <row r="336" spans="1:23" x14ac:dyDescent="0.3">
      <c r="A336" s="7" t="s">
        <v>395</v>
      </c>
      <c r="B336" s="8" t="s">
        <v>282</v>
      </c>
      <c r="C336" s="8" t="s">
        <v>1012</v>
      </c>
      <c r="D336" s="8" t="s">
        <v>1013</v>
      </c>
      <c r="E336" s="8">
        <v>186525</v>
      </c>
      <c r="F336" s="9">
        <v>41</v>
      </c>
      <c r="G336" s="10">
        <v>5</v>
      </c>
      <c r="H336" s="10">
        <v>205</v>
      </c>
      <c r="I336" s="8" t="s">
        <v>1366</v>
      </c>
      <c r="J336" s="8" t="s">
        <v>1014</v>
      </c>
      <c r="K336" s="8" t="s">
        <v>1014</v>
      </c>
      <c r="L336" s="8" t="s">
        <v>1015</v>
      </c>
      <c r="M336" s="8" t="s">
        <v>1016</v>
      </c>
      <c r="N336" s="8" t="s">
        <v>495</v>
      </c>
      <c r="O336" s="8" t="s">
        <v>285</v>
      </c>
      <c r="P336" s="8" t="s">
        <v>372</v>
      </c>
      <c r="Q336" s="11">
        <v>753.28</v>
      </c>
      <c r="R336" s="11">
        <v>154422.39999999999</v>
      </c>
      <c r="S336" s="9">
        <v>56</v>
      </c>
      <c r="T336" s="8" t="s">
        <v>79</v>
      </c>
      <c r="U336" s="9">
        <v>41</v>
      </c>
      <c r="V336" s="8" t="s">
        <v>1017</v>
      </c>
      <c r="W336" s="8" t="s">
        <v>1018</v>
      </c>
    </row>
    <row r="337" spans="1:23" x14ac:dyDescent="0.3">
      <c r="A337" s="2" t="s">
        <v>395</v>
      </c>
      <c r="B337" s="3" t="s">
        <v>282</v>
      </c>
      <c r="C337" s="3" t="s">
        <v>1012</v>
      </c>
      <c r="D337" s="3" t="s">
        <v>1019</v>
      </c>
      <c r="E337" s="3">
        <v>186530</v>
      </c>
      <c r="F337" s="4">
        <v>183</v>
      </c>
      <c r="G337" s="5">
        <v>5</v>
      </c>
      <c r="H337" s="5">
        <v>915</v>
      </c>
      <c r="I337" s="3" t="s">
        <v>1366</v>
      </c>
      <c r="J337" s="3" t="s">
        <v>587</v>
      </c>
      <c r="K337" s="3" t="s">
        <v>587</v>
      </c>
      <c r="L337" s="3" t="s">
        <v>587</v>
      </c>
      <c r="M337" s="3" t="s">
        <v>588</v>
      </c>
      <c r="N337" s="3" t="s">
        <v>495</v>
      </c>
      <c r="O337" s="3" t="s">
        <v>285</v>
      </c>
      <c r="P337" s="3" t="s">
        <v>372</v>
      </c>
      <c r="Q337" s="6">
        <v>303</v>
      </c>
      <c r="R337" s="6">
        <v>277245</v>
      </c>
      <c r="S337" s="4">
        <v>56</v>
      </c>
      <c r="T337" s="3" t="s">
        <v>79</v>
      </c>
      <c r="U337" s="4">
        <v>183</v>
      </c>
      <c r="V337" s="3" t="s">
        <v>1020</v>
      </c>
      <c r="W337" s="3" t="s">
        <v>1021</v>
      </c>
    </row>
    <row r="338" spans="1:23" x14ac:dyDescent="0.3">
      <c r="A338" s="7" t="s">
        <v>395</v>
      </c>
      <c r="B338" s="8" t="s">
        <v>282</v>
      </c>
      <c r="C338" s="8" t="s">
        <v>1012</v>
      </c>
      <c r="D338" s="8" t="s">
        <v>1019</v>
      </c>
      <c r="E338" s="8">
        <v>186531</v>
      </c>
      <c r="F338" s="9">
        <v>17</v>
      </c>
      <c r="G338" s="10">
        <v>5</v>
      </c>
      <c r="H338" s="10">
        <v>85</v>
      </c>
      <c r="I338" s="8" t="s">
        <v>1366</v>
      </c>
      <c r="J338" s="8" t="s">
        <v>587</v>
      </c>
      <c r="K338" s="8" t="s">
        <v>587</v>
      </c>
      <c r="L338" s="8" t="s">
        <v>587</v>
      </c>
      <c r="M338" s="8" t="s">
        <v>588</v>
      </c>
      <c r="N338" s="8" t="s">
        <v>495</v>
      </c>
      <c r="O338" s="8" t="s">
        <v>285</v>
      </c>
      <c r="P338" s="8" t="s">
        <v>372</v>
      </c>
      <c r="Q338" s="11">
        <v>303</v>
      </c>
      <c r="R338" s="11">
        <v>25755</v>
      </c>
      <c r="S338" s="9">
        <v>56</v>
      </c>
      <c r="T338" s="8" t="s">
        <v>79</v>
      </c>
      <c r="U338" s="9">
        <v>17</v>
      </c>
      <c r="V338" s="8" t="s">
        <v>1022</v>
      </c>
      <c r="W338" s="8" t="s">
        <v>1023</v>
      </c>
    </row>
    <row r="339" spans="1:23" x14ac:dyDescent="0.3">
      <c r="A339" s="2" t="s">
        <v>395</v>
      </c>
      <c r="B339" s="3" t="s">
        <v>282</v>
      </c>
      <c r="C339" s="3" t="s">
        <v>1012</v>
      </c>
      <c r="D339" s="3" t="s">
        <v>1024</v>
      </c>
      <c r="E339" s="3">
        <v>186581</v>
      </c>
      <c r="F339" s="4">
        <v>0</v>
      </c>
      <c r="G339" s="5">
        <v>5</v>
      </c>
      <c r="H339" s="5">
        <v>0</v>
      </c>
      <c r="I339" s="3" t="s">
        <v>1366</v>
      </c>
      <c r="J339" s="3" t="s">
        <v>369</v>
      </c>
      <c r="K339" s="3" t="s">
        <v>369</v>
      </c>
      <c r="L339" s="3" t="s">
        <v>370</v>
      </c>
      <c r="M339" s="3" t="s">
        <v>914</v>
      </c>
      <c r="N339" s="3" t="s">
        <v>495</v>
      </c>
      <c r="O339" s="3" t="s">
        <v>285</v>
      </c>
      <c r="P339" s="3" t="s">
        <v>372</v>
      </c>
      <c r="Q339" s="6">
        <v>871.2</v>
      </c>
      <c r="R339" s="6">
        <v>0</v>
      </c>
      <c r="S339" s="4">
        <v>56</v>
      </c>
      <c r="T339" s="3" t="s">
        <v>79</v>
      </c>
      <c r="U339" s="4">
        <v>0</v>
      </c>
      <c r="V339" s="3" t="e">
        <f>VLOOKUP(E339,'[1]Consolidated Stock'!$E:$V,18,0)</f>
        <v>#N/A</v>
      </c>
      <c r="W339" s="3" t="s">
        <v>1025</v>
      </c>
    </row>
    <row r="340" spans="1:23" x14ac:dyDescent="0.3">
      <c r="A340" s="7" t="s">
        <v>395</v>
      </c>
      <c r="B340" s="8" t="s">
        <v>282</v>
      </c>
      <c r="C340" s="8" t="s">
        <v>1012</v>
      </c>
      <c r="D340" s="8" t="s">
        <v>1026</v>
      </c>
      <c r="E340" s="8">
        <v>186582</v>
      </c>
      <c r="F340" s="9">
        <v>147</v>
      </c>
      <c r="G340" s="10">
        <v>5</v>
      </c>
      <c r="H340" s="10">
        <v>735</v>
      </c>
      <c r="I340" s="8" t="s">
        <v>1366</v>
      </c>
      <c r="J340" s="8" t="s">
        <v>369</v>
      </c>
      <c r="K340" s="8" t="s">
        <v>369</v>
      </c>
      <c r="L340" s="8" t="s">
        <v>370</v>
      </c>
      <c r="M340" s="8" t="s">
        <v>914</v>
      </c>
      <c r="N340" s="8" t="s">
        <v>495</v>
      </c>
      <c r="O340" s="8" t="s">
        <v>285</v>
      </c>
      <c r="P340" s="8" t="s">
        <v>372</v>
      </c>
      <c r="Q340" s="11">
        <v>871.2</v>
      </c>
      <c r="R340" s="11">
        <v>640332</v>
      </c>
      <c r="S340" s="9">
        <v>56</v>
      </c>
      <c r="T340" s="8" t="s">
        <v>79</v>
      </c>
      <c r="U340" s="9">
        <v>147</v>
      </c>
      <c r="V340" s="8" t="s">
        <v>1027</v>
      </c>
      <c r="W340" s="8" t="s">
        <v>1028</v>
      </c>
    </row>
    <row r="341" spans="1:23" x14ac:dyDescent="0.3">
      <c r="A341" s="2" t="s">
        <v>395</v>
      </c>
      <c r="B341" s="3" t="s">
        <v>282</v>
      </c>
      <c r="C341" s="3" t="s">
        <v>1012</v>
      </c>
      <c r="D341" s="3" t="s">
        <v>1026</v>
      </c>
      <c r="E341" s="3">
        <v>186583</v>
      </c>
      <c r="F341" s="4">
        <v>2</v>
      </c>
      <c r="G341" s="5">
        <v>5</v>
      </c>
      <c r="H341" s="5">
        <v>10</v>
      </c>
      <c r="I341" s="3" t="s">
        <v>1366</v>
      </c>
      <c r="J341" s="3" t="s">
        <v>369</v>
      </c>
      <c r="K341" s="3" t="s">
        <v>369</v>
      </c>
      <c r="L341" s="3" t="s">
        <v>370</v>
      </c>
      <c r="M341" s="3" t="s">
        <v>914</v>
      </c>
      <c r="N341" s="3" t="s">
        <v>495</v>
      </c>
      <c r="O341" s="3" t="s">
        <v>285</v>
      </c>
      <c r="P341" s="3" t="s">
        <v>372</v>
      </c>
      <c r="Q341" s="6">
        <v>871.2</v>
      </c>
      <c r="R341" s="6">
        <v>8712</v>
      </c>
      <c r="S341" s="4">
        <v>56</v>
      </c>
      <c r="T341" s="3" t="s">
        <v>79</v>
      </c>
      <c r="U341" s="4">
        <v>2</v>
      </c>
      <c r="V341" s="3" t="s">
        <v>1029</v>
      </c>
      <c r="W341" s="3" t="s">
        <v>1030</v>
      </c>
    </row>
    <row r="342" spans="1:23" x14ac:dyDescent="0.3">
      <c r="A342" s="7" t="s">
        <v>395</v>
      </c>
      <c r="B342" s="8" t="s">
        <v>282</v>
      </c>
      <c r="C342" s="8" t="s">
        <v>1012</v>
      </c>
      <c r="D342" s="8" t="s">
        <v>1031</v>
      </c>
      <c r="E342" s="8">
        <v>186584</v>
      </c>
      <c r="F342" s="9">
        <v>203</v>
      </c>
      <c r="G342" s="10">
        <v>5</v>
      </c>
      <c r="H342" s="10">
        <v>1015</v>
      </c>
      <c r="I342" s="8" t="s">
        <v>1366</v>
      </c>
      <c r="J342" s="8" t="s">
        <v>369</v>
      </c>
      <c r="K342" s="8" t="s">
        <v>369</v>
      </c>
      <c r="L342" s="8" t="s">
        <v>370</v>
      </c>
      <c r="M342" s="8" t="s">
        <v>914</v>
      </c>
      <c r="N342" s="8" t="s">
        <v>495</v>
      </c>
      <c r="O342" s="8" t="s">
        <v>285</v>
      </c>
      <c r="P342" s="8" t="s">
        <v>372</v>
      </c>
      <c r="Q342" s="11">
        <v>871.2</v>
      </c>
      <c r="R342" s="11">
        <v>884268</v>
      </c>
      <c r="S342" s="9">
        <v>56</v>
      </c>
      <c r="T342" s="8" t="s">
        <v>79</v>
      </c>
      <c r="U342" s="9">
        <v>203</v>
      </c>
      <c r="V342" s="8" t="s">
        <v>1032</v>
      </c>
      <c r="W342" s="8" t="s">
        <v>1033</v>
      </c>
    </row>
    <row r="343" spans="1:23" x14ac:dyDescent="0.3">
      <c r="A343" s="2" t="s">
        <v>395</v>
      </c>
      <c r="B343" s="3" t="s">
        <v>282</v>
      </c>
      <c r="C343" s="3" t="s">
        <v>1012</v>
      </c>
      <c r="D343" s="3" t="s">
        <v>1031</v>
      </c>
      <c r="E343" s="3">
        <v>186585</v>
      </c>
      <c r="F343" s="4">
        <v>7</v>
      </c>
      <c r="G343" s="5">
        <v>5</v>
      </c>
      <c r="H343" s="5">
        <v>35</v>
      </c>
      <c r="I343" s="3" t="s">
        <v>1366</v>
      </c>
      <c r="J343" s="3" t="s">
        <v>369</v>
      </c>
      <c r="K343" s="3" t="s">
        <v>369</v>
      </c>
      <c r="L343" s="3" t="s">
        <v>370</v>
      </c>
      <c r="M343" s="3" t="s">
        <v>914</v>
      </c>
      <c r="N343" s="3" t="s">
        <v>495</v>
      </c>
      <c r="O343" s="3" t="s">
        <v>285</v>
      </c>
      <c r="P343" s="3" t="s">
        <v>372</v>
      </c>
      <c r="Q343" s="6">
        <v>871.2</v>
      </c>
      <c r="R343" s="6">
        <v>30492</v>
      </c>
      <c r="S343" s="4">
        <v>56</v>
      </c>
      <c r="T343" s="3" t="s">
        <v>79</v>
      </c>
      <c r="U343" s="4">
        <v>7</v>
      </c>
      <c r="V343" s="3" t="s">
        <v>1034</v>
      </c>
      <c r="W343" s="3" t="s">
        <v>1035</v>
      </c>
    </row>
    <row r="344" spans="1:23" x14ac:dyDescent="0.3">
      <c r="A344" s="7" t="s">
        <v>395</v>
      </c>
      <c r="B344" s="8" t="s">
        <v>282</v>
      </c>
      <c r="C344" s="8" t="s">
        <v>1012</v>
      </c>
      <c r="D344" s="8" t="s">
        <v>1036</v>
      </c>
      <c r="E344" s="8">
        <v>186586</v>
      </c>
      <c r="F344" s="9">
        <v>120</v>
      </c>
      <c r="G344" s="10">
        <v>5</v>
      </c>
      <c r="H344" s="10">
        <v>600</v>
      </c>
      <c r="I344" s="8" t="s">
        <v>1366</v>
      </c>
      <c r="J344" s="8" t="s">
        <v>369</v>
      </c>
      <c r="K344" s="8" t="s">
        <v>369</v>
      </c>
      <c r="L344" s="8" t="s">
        <v>370</v>
      </c>
      <c r="M344" s="8" t="s">
        <v>914</v>
      </c>
      <c r="N344" s="8" t="s">
        <v>495</v>
      </c>
      <c r="O344" s="8" t="s">
        <v>285</v>
      </c>
      <c r="P344" s="8" t="s">
        <v>372</v>
      </c>
      <c r="Q344" s="11">
        <v>871.2</v>
      </c>
      <c r="R344" s="11">
        <v>522720</v>
      </c>
      <c r="S344" s="9">
        <v>56</v>
      </c>
      <c r="T344" s="8" t="s">
        <v>79</v>
      </c>
      <c r="U344" s="9">
        <v>120</v>
      </c>
      <c r="V344" s="8" t="s">
        <v>1037</v>
      </c>
      <c r="W344" s="8" t="s">
        <v>1038</v>
      </c>
    </row>
    <row r="345" spans="1:23" x14ac:dyDescent="0.3">
      <c r="A345" s="2" t="s">
        <v>395</v>
      </c>
      <c r="B345" s="3" t="s">
        <v>282</v>
      </c>
      <c r="C345" s="3" t="s">
        <v>1012</v>
      </c>
      <c r="D345" s="3" t="s">
        <v>1039</v>
      </c>
      <c r="E345" s="3">
        <v>186587</v>
      </c>
      <c r="F345" s="4">
        <v>210</v>
      </c>
      <c r="G345" s="5">
        <v>5</v>
      </c>
      <c r="H345" s="5">
        <v>1050</v>
      </c>
      <c r="I345" s="3" t="s">
        <v>1366</v>
      </c>
      <c r="J345" s="3" t="s">
        <v>369</v>
      </c>
      <c r="K345" s="3" t="s">
        <v>369</v>
      </c>
      <c r="L345" s="3" t="s">
        <v>370</v>
      </c>
      <c r="M345" s="3" t="s">
        <v>914</v>
      </c>
      <c r="N345" s="3" t="s">
        <v>495</v>
      </c>
      <c r="O345" s="3" t="s">
        <v>285</v>
      </c>
      <c r="P345" s="3" t="s">
        <v>372</v>
      </c>
      <c r="Q345" s="6">
        <v>871.2</v>
      </c>
      <c r="R345" s="6">
        <v>914760</v>
      </c>
      <c r="S345" s="4">
        <v>56</v>
      </c>
      <c r="T345" s="3" t="s">
        <v>79</v>
      </c>
      <c r="U345" s="4">
        <v>210</v>
      </c>
      <c r="V345" s="3" t="s">
        <v>1040</v>
      </c>
      <c r="W345" s="3" t="s">
        <v>1041</v>
      </c>
    </row>
    <row r="346" spans="1:23" x14ac:dyDescent="0.3">
      <c r="A346" s="7" t="s">
        <v>395</v>
      </c>
      <c r="B346" s="8" t="s">
        <v>282</v>
      </c>
      <c r="C346" s="8" t="s">
        <v>1012</v>
      </c>
      <c r="D346" s="8" t="s">
        <v>1042</v>
      </c>
      <c r="E346" s="8">
        <v>186588</v>
      </c>
      <c r="F346" s="9">
        <v>60</v>
      </c>
      <c r="G346" s="10">
        <v>5</v>
      </c>
      <c r="H346" s="10">
        <v>300</v>
      </c>
      <c r="I346" s="8" t="s">
        <v>1366</v>
      </c>
      <c r="J346" s="8" t="s">
        <v>587</v>
      </c>
      <c r="K346" s="8" t="s">
        <v>587</v>
      </c>
      <c r="L346" s="8" t="s">
        <v>587</v>
      </c>
      <c r="M346" s="8" t="s">
        <v>588</v>
      </c>
      <c r="N346" s="8" t="s">
        <v>495</v>
      </c>
      <c r="O346" s="8" t="s">
        <v>285</v>
      </c>
      <c r="P346" s="8" t="s">
        <v>372</v>
      </c>
      <c r="Q346" s="11">
        <v>303</v>
      </c>
      <c r="R346" s="11">
        <v>90900</v>
      </c>
      <c r="S346" s="9">
        <v>56</v>
      </c>
      <c r="T346" s="8" t="s">
        <v>79</v>
      </c>
      <c r="U346" s="9">
        <v>60</v>
      </c>
      <c r="V346" s="8" t="s">
        <v>1043</v>
      </c>
      <c r="W346" s="8" t="s">
        <v>1044</v>
      </c>
    </row>
    <row r="347" spans="1:23" x14ac:dyDescent="0.3">
      <c r="A347" s="2" t="s">
        <v>490</v>
      </c>
      <c r="B347" s="3" t="s">
        <v>282</v>
      </c>
      <c r="C347" s="3" t="s">
        <v>1045</v>
      </c>
      <c r="D347" s="3" t="s">
        <v>1046</v>
      </c>
      <c r="E347" s="3">
        <v>186767</v>
      </c>
      <c r="F347" s="4">
        <v>1800</v>
      </c>
      <c r="G347" s="5">
        <v>5</v>
      </c>
      <c r="H347" s="5">
        <v>9000</v>
      </c>
      <c r="I347" s="3" t="s">
        <v>1366</v>
      </c>
      <c r="J347" s="3" t="s">
        <v>587</v>
      </c>
      <c r="K347" s="3" t="s">
        <v>587</v>
      </c>
      <c r="L347" s="3" t="s">
        <v>587</v>
      </c>
      <c r="M347" s="3" t="s">
        <v>588</v>
      </c>
      <c r="N347" s="3" t="s">
        <v>495</v>
      </c>
      <c r="O347" s="3" t="s">
        <v>285</v>
      </c>
      <c r="P347" s="3" t="s">
        <v>372</v>
      </c>
      <c r="Q347" s="6">
        <v>303</v>
      </c>
      <c r="R347" s="6">
        <v>2727000</v>
      </c>
      <c r="S347" s="4">
        <v>54</v>
      </c>
      <c r="T347" s="3" t="s">
        <v>79</v>
      </c>
      <c r="U347" s="4">
        <v>1800</v>
      </c>
      <c r="V347" s="3" t="s">
        <v>1047</v>
      </c>
      <c r="W347" s="3" t="s">
        <v>1421</v>
      </c>
    </row>
    <row r="348" spans="1:23" x14ac:dyDescent="0.3">
      <c r="A348" s="7" t="s">
        <v>490</v>
      </c>
      <c r="B348" s="8" t="s">
        <v>282</v>
      </c>
      <c r="C348" s="8" t="s">
        <v>1045</v>
      </c>
      <c r="D348" s="8" t="s">
        <v>1046</v>
      </c>
      <c r="E348" s="8">
        <v>186767</v>
      </c>
      <c r="F348" s="9">
        <v>1755</v>
      </c>
      <c r="G348" s="10">
        <v>5</v>
      </c>
      <c r="H348" s="10">
        <v>8775</v>
      </c>
      <c r="I348" s="8" t="s">
        <v>1366</v>
      </c>
      <c r="J348" s="8" t="s">
        <v>587</v>
      </c>
      <c r="K348" s="8" t="s">
        <v>587</v>
      </c>
      <c r="L348" s="8" t="s">
        <v>587</v>
      </c>
      <c r="M348" s="8" t="s">
        <v>588</v>
      </c>
      <c r="N348" s="8" t="s">
        <v>495</v>
      </c>
      <c r="O348" s="8" t="s">
        <v>285</v>
      </c>
      <c r="P348" s="8" t="s">
        <v>372</v>
      </c>
      <c r="Q348" s="11">
        <v>303</v>
      </c>
      <c r="R348" s="11">
        <v>2658825</v>
      </c>
      <c r="S348" s="9">
        <v>54</v>
      </c>
      <c r="T348" s="8" t="s">
        <v>79</v>
      </c>
      <c r="U348" s="9">
        <v>1755</v>
      </c>
      <c r="V348" s="8" t="s">
        <v>1048</v>
      </c>
      <c r="W348" s="8" t="s">
        <v>1422</v>
      </c>
    </row>
    <row r="349" spans="1:23" x14ac:dyDescent="0.3">
      <c r="A349" s="2" t="s">
        <v>490</v>
      </c>
      <c r="B349" s="3" t="s">
        <v>282</v>
      </c>
      <c r="C349" s="3" t="s">
        <v>1045</v>
      </c>
      <c r="D349" s="3" t="s">
        <v>1046</v>
      </c>
      <c r="E349" s="3">
        <v>186794</v>
      </c>
      <c r="F349" s="4">
        <v>423</v>
      </c>
      <c r="G349" s="5">
        <v>5</v>
      </c>
      <c r="H349" s="5">
        <v>2115</v>
      </c>
      <c r="I349" s="3" t="s">
        <v>1366</v>
      </c>
      <c r="J349" s="3" t="s">
        <v>587</v>
      </c>
      <c r="K349" s="3" t="s">
        <v>587</v>
      </c>
      <c r="L349" s="3" t="s">
        <v>587</v>
      </c>
      <c r="M349" s="3" t="s">
        <v>588</v>
      </c>
      <c r="N349" s="3" t="s">
        <v>495</v>
      </c>
      <c r="O349" s="3" t="s">
        <v>285</v>
      </c>
      <c r="P349" s="3" t="s">
        <v>372</v>
      </c>
      <c r="Q349" s="6">
        <v>303</v>
      </c>
      <c r="R349" s="6">
        <v>640845</v>
      </c>
      <c r="S349" s="4">
        <v>54</v>
      </c>
      <c r="T349" s="3" t="s">
        <v>79</v>
      </c>
      <c r="U349" s="4">
        <v>423</v>
      </c>
      <c r="V349" s="3" t="s">
        <v>1049</v>
      </c>
      <c r="W349" s="3" t="s">
        <v>1050</v>
      </c>
    </row>
    <row r="350" spans="1:23" x14ac:dyDescent="0.3">
      <c r="A350" s="7" t="s">
        <v>490</v>
      </c>
      <c r="B350" s="8" t="s">
        <v>282</v>
      </c>
      <c r="C350" s="8" t="s">
        <v>1045</v>
      </c>
      <c r="D350" s="8" t="s">
        <v>1046</v>
      </c>
      <c r="E350" s="8">
        <v>186795</v>
      </c>
      <c r="F350" s="9">
        <v>21</v>
      </c>
      <c r="G350" s="10">
        <v>5</v>
      </c>
      <c r="H350" s="10">
        <v>105</v>
      </c>
      <c r="I350" s="8" t="s">
        <v>1366</v>
      </c>
      <c r="J350" s="8" t="s">
        <v>587</v>
      </c>
      <c r="K350" s="8" t="s">
        <v>587</v>
      </c>
      <c r="L350" s="8" t="s">
        <v>587</v>
      </c>
      <c r="M350" s="8" t="s">
        <v>588</v>
      </c>
      <c r="N350" s="8" t="s">
        <v>495</v>
      </c>
      <c r="O350" s="8" t="s">
        <v>285</v>
      </c>
      <c r="P350" s="8" t="s">
        <v>372</v>
      </c>
      <c r="Q350" s="11">
        <v>303</v>
      </c>
      <c r="R350" s="11">
        <v>31815</v>
      </c>
      <c r="S350" s="9">
        <v>54</v>
      </c>
      <c r="T350" s="8" t="s">
        <v>79</v>
      </c>
      <c r="U350" s="9">
        <v>21</v>
      </c>
      <c r="V350" s="8" t="s">
        <v>1051</v>
      </c>
      <c r="W350" s="8" t="s">
        <v>1052</v>
      </c>
    </row>
    <row r="351" spans="1:23" x14ac:dyDescent="0.3">
      <c r="A351" s="2" t="s">
        <v>397</v>
      </c>
      <c r="B351" s="3" t="s">
        <v>398</v>
      </c>
      <c r="C351" s="3" t="s">
        <v>1053</v>
      </c>
      <c r="D351" s="3" t="s">
        <v>450</v>
      </c>
      <c r="E351" s="3">
        <v>2057</v>
      </c>
      <c r="F351" s="4">
        <v>1</v>
      </c>
      <c r="G351" s="5">
        <v>8</v>
      </c>
      <c r="H351" s="5">
        <v>8</v>
      </c>
      <c r="I351" s="3" t="s">
        <v>1366</v>
      </c>
      <c r="J351" s="3" t="s">
        <v>1375</v>
      </c>
      <c r="K351" s="3" t="s">
        <v>1054</v>
      </c>
      <c r="L351" s="3" t="s">
        <v>370</v>
      </c>
      <c r="M351" s="3" t="s">
        <v>1055</v>
      </c>
      <c r="N351" s="3" t="s">
        <v>495</v>
      </c>
      <c r="O351" s="3" t="s">
        <v>285</v>
      </c>
      <c r="P351" s="3" t="s">
        <v>50</v>
      </c>
      <c r="Q351" s="6">
        <v>462</v>
      </c>
      <c r="R351" s="6">
        <v>3696</v>
      </c>
      <c r="S351" s="4">
        <v>390</v>
      </c>
      <c r="T351" s="3" t="s">
        <v>36</v>
      </c>
      <c r="U351" s="4">
        <v>1</v>
      </c>
      <c r="V351" s="3" t="s">
        <v>1056</v>
      </c>
      <c r="W351" s="3" t="s">
        <v>468</v>
      </c>
    </row>
    <row r="352" spans="1:23" x14ac:dyDescent="0.3">
      <c r="A352" s="7" t="s">
        <v>397</v>
      </c>
      <c r="B352" s="8" t="s">
        <v>398</v>
      </c>
      <c r="C352" s="8" t="s">
        <v>1053</v>
      </c>
      <c r="D352" s="8" t="s">
        <v>450</v>
      </c>
      <c r="E352" s="8">
        <v>2058</v>
      </c>
      <c r="F352" s="9">
        <v>1</v>
      </c>
      <c r="G352" s="10">
        <v>12</v>
      </c>
      <c r="H352" s="10">
        <v>12</v>
      </c>
      <c r="I352" s="8" t="s">
        <v>1366</v>
      </c>
      <c r="J352" s="8" t="s">
        <v>1370</v>
      </c>
      <c r="K352" s="8" t="s">
        <v>483</v>
      </c>
      <c r="L352" s="8" t="s">
        <v>370</v>
      </c>
      <c r="M352" s="8" t="s">
        <v>484</v>
      </c>
      <c r="N352" s="8" t="s">
        <v>495</v>
      </c>
      <c r="O352" s="8" t="s">
        <v>285</v>
      </c>
      <c r="P352" s="8" t="s">
        <v>50</v>
      </c>
      <c r="Q352" s="11">
        <v>641</v>
      </c>
      <c r="R352" s="11">
        <v>7692</v>
      </c>
      <c r="S352" s="9">
        <v>390</v>
      </c>
      <c r="T352" s="8" t="s">
        <v>36</v>
      </c>
      <c r="U352" s="9">
        <v>1</v>
      </c>
      <c r="V352" s="8" t="s">
        <v>1057</v>
      </c>
      <c r="W352" s="8" t="s">
        <v>455</v>
      </c>
    </row>
    <row r="353" spans="1:23" x14ac:dyDescent="0.3">
      <c r="A353" s="12" t="s">
        <v>397</v>
      </c>
      <c r="B353" s="13" t="s">
        <v>398</v>
      </c>
      <c r="C353" s="13" t="s">
        <v>1053</v>
      </c>
      <c r="D353" s="13" t="s">
        <v>450</v>
      </c>
      <c r="E353" s="13">
        <v>2059</v>
      </c>
      <c r="F353" s="14">
        <v>1</v>
      </c>
      <c r="G353" s="15">
        <v>12</v>
      </c>
      <c r="H353" s="15">
        <v>12</v>
      </c>
      <c r="I353" s="13" t="s">
        <v>1366</v>
      </c>
      <c r="J353" s="13" t="s">
        <v>1371</v>
      </c>
      <c r="K353" s="13" t="s">
        <v>436</v>
      </c>
      <c r="L353" s="13" t="s">
        <v>370</v>
      </c>
      <c r="M353" s="13" t="s">
        <v>437</v>
      </c>
      <c r="N353" s="13" t="s">
        <v>495</v>
      </c>
      <c r="O353" s="13" t="s">
        <v>285</v>
      </c>
      <c r="P353" s="13" t="s">
        <v>50</v>
      </c>
      <c r="Q353" s="16">
        <v>715</v>
      </c>
      <c r="R353" s="16">
        <v>8580</v>
      </c>
      <c r="S353" s="14">
        <v>390</v>
      </c>
      <c r="T353" s="13" t="s">
        <v>36</v>
      </c>
      <c r="U353" s="14">
        <v>1</v>
      </c>
      <c r="V353" s="13" t="s">
        <v>1360</v>
      </c>
      <c r="W353" s="13" t="s">
        <v>1361</v>
      </c>
    </row>
    <row r="354" spans="1:23" x14ac:dyDescent="0.3">
      <c r="A354" s="7" t="s">
        <v>397</v>
      </c>
      <c r="B354" s="8" t="s">
        <v>398</v>
      </c>
      <c r="C354" s="8" t="s">
        <v>1053</v>
      </c>
      <c r="D354" s="8" t="s">
        <v>450</v>
      </c>
      <c r="E354" s="8">
        <v>2060</v>
      </c>
      <c r="F354" s="9">
        <v>1</v>
      </c>
      <c r="G354" s="10">
        <v>16</v>
      </c>
      <c r="H354" s="10">
        <v>16</v>
      </c>
      <c r="I354" s="8" t="s">
        <v>1366</v>
      </c>
      <c r="J354" s="8" t="s">
        <v>1375</v>
      </c>
      <c r="K354" s="8" t="s">
        <v>1054</v>
      </c>
      <c r="L354" s="8" t="s">
        <v>370</v>
      </c>
      <c r="M354" s="8" t="s">
        <v>1055</v>
      </c>
      <c r="N354" s="8" t="s">
        <v>495</v>
      </c>
      <c r="O354" s="8" t="s">
        <v>285</v>
      </c>
      <c r="P354" s="8" t="s">
        <v>50</v>
      </c>
      <c r="Q354" s="11">
        <v>462</v>
      </c>
      <c r="R354" s="11">
        <v>7392</v>
      </c>
      <c r="S354" s="9">
        <v>390</v>
      </c>
      <c r="T354" s="8" t="s">
        <v>36</v>
      </c>
      <c r="U354" s="9">
        <v>1</v>
      </c>
      <c r="V354" s="8" t="s">
        <v>1058</v>
      </c>
      <c r="W354" s="8" t="s">
        <v>460</v>
      </c>
    </row>
    <row r="355" spans="1:23" x14ac:dyDescent="0.3">
      <c r="A355" s="2" t="s">
        <v>1059</v>
      </c>
      <c r="B355" s="3" t="s">
        <v>398</v>
      </c>
      <c r="C355" s="3" t="s">
        <v>1060</v>
      </c>
      <c r="D355" s="3" t="s">
        <v>471</v>
      </c>
      <c r="E355" s="3">
        <v>4905</v>
      </c>
      <c r="F355" s="4">
        <v>118</v>
      </c>
      <c r="G355" s="5">
        <v>5</v>
      </c>
      <c r="H355" s="5">
        <v>590</v>
      </c>
      <c r="I355" s="3" t="s">
        <v>1366</v>
      </c>
      <c r="J355" s="3" t="s">
        <v>1369</v>
      </c>
      <c r="K355" s="3" t="s">
        <v>464</v>
      </c>
      <c r="L355" s="3" t="s">
        <v>1061</v>
      </c>
      <c r="M355" s="3" t="s">
        <v>466</v>
      </c>
      <c r="N355" s="3" t="s">
        <v>495</v>
      </c>
      <c r="O355" s="3" t="s">
        <v>285</v>
      </c>
      <c r="P355" s="3" t="s">
        <v>153</v>
      </c>
      <c r="Q355" s="6">
        <v>200</v>
      </c>
      <c r="R355" s="6">
        <v>118000</v>
      </c>
      <c r="S355" s="4">
        <v>305</v>
      </c>
      <c r="T355" s="3" t="s">
        <v>53</v>
      </c>
      <c r="U355" s="4">
        <v>118</v>
      </c>
      <c r="V355" s="3" t="s">
        <v>1062</v>
      </c>
      <c r="W355" s="3" t="s">
        <v>1063</v>
      </c>
    </row>
    <row r="356" spans="1:23" x14ac:dyDescent="0.3">
      <c r="A356" s="7" t="s">
        <v>1064</v>
      </c>
      <c r="B356" s="8" t="s">
        <v>398</v>
      </c>
      <c r="C356" s="8" t="s">
        <v>1065</v>
      </c>
      <c r="D356" s="8" t="s">
        <v>1066</v>
      </c>
      <c r="E356" s="8">
        <v>7231</v>
      </c>
      <c r="F356" s="9">
        <v>165</v>
      </c>
      <c r="G356" s="10">
        <v>5</v>
      </c>
      <c r="H356" s="10">
        <v>825</v>
      </c>
      <c r="I356" s="8" t="s">
        <v>1366</v>
      </c>
      <c r="J356" s="8" t="s">
        <v>1380</v>
      </c>
      <c r="K356" s="8" t="s">
        <v>887</v>
      </c>
      <c r="L356" s="8" t="s">
        <v>887</v>
      </c>
      <c r="M356" s="8" t="s">
        <v>888</v>
      </c>
      <c r="N356" s="8" t="s">
        <v>495</v>
      </c>
      <c r="O356" s="8" t="s">
        <v>285</v>
      </c>
      <c r="P356" s="8" t="s">
        <v>372</v>
      </c>
      <c r="Q356" s="11">
        <v>527</v>
      </c>
      <c r="R356" s="11">
        <v>434775</v>
      </c>
      <c r="S356" s="9">
        <v>238</v>
      </c>
      <c r="T356" s="8" t="s">
        <v>53</v>
      </c>
      <c r="U356" s="9">
        <v>165</v>
      </c>
      <c r="V356" s="8" t="s">
        <v>1067</v>
      </c>
      <c r="W356" s="8" t="s">
        <v>1068</v>
      </c>
    </row>
    <row r="357" spans="1:23" x14ac:dyDescent="0.3">
      <c r="A357" s="2" t="s">
        <v>1064</v>
      </c>
      <c r="B357" s="3" t="s">
        <v>398</v>
      </c>
      <c r="C357" s="3" t="s">
        <v>1065</v>
      </c>
      <c r="D357" s="3" t="s">
        <v>1069</v>
      </c>
      <c r="E357" s="3">
        <v>7232</v>
      </c>
      <c r="F357" s="4">
        <v>175</v>
      </c>
      <c r="G357" s="5">
        <v>5</v>
      </c>
      <c r="H357" s="5">
        <v>875</v>
      </c>
      <c r="I357" s="3" t="s">
        <v>1366</v>
      </c>
      <c r="J357" s="3" t="s">
        <v>1380</v>
      </c>
      <c r="K357" s="3" t="s">
        <v>887</v>
      </c>
      <c r="L357" s="3" t="s">
        <v>887</v>
      </c>
      <c r="M357" s="3" t="s">
        <v>888</v>
      </c>
      <c r="N357" s="3" t="s">
        <v>495</v>
      </c>
      <c r="O357" s="3" t="s">
        <v>285</v>
      </c>
      <c r="P357" s="3" t="s">
        <v>372</v>
      </c>
      <c r="Q357" s="6">
        <v>527</v>
      </c>
      <c r="R357" s="6">
        <v>461125</v>
      </c>
      <c r="S357" s="4">
        <v>238</v>
      </c>
      <c r="T357" s="3" t="s">
        <v>53</v>
      </c>
      <c r="U357" s="4">
        <v>175</v>
      </c>
      <c r="V357" s="3" t="s">
        <v>1070</v>
      </c>
      <c r="W357" s="3" t="s">
        <v>486</v>
      </c>
    </row>
    <row r="358" spans="1:23" x14ac:dyDescent="0.3">
      <c r="A358" s="7" t="s">
        <v>1071</v>
      </c>
      <c r="B358" s="8" t="s">
        <v>398</v>
      </c>
      <c r="C358" s="8" t="s">
        <v>1072</v>
      </c>
      <c r="D358" s="8" t="s">
        <v>383</v>
      </c>
      <c r="E358" s="8">
        <v>7760</v>
      </c>
      <c r="F358" s="9">
        <v>249</v>
      </c>
      <c r="G358" s="10">
        <v>5</v>
      </c>
      <c r="H358" s="10">
        <v>1245</v>
      </c>
      <c r="I358" s="8" t="s">
        <v>1366</v>
      </c>
      <c r="J358" s="8" t="s">
        <v>1369</v>
      </c>
      <c r="K358" s="8" t="s">
        <v>464</v>
      </c>
      <c r="L358" s="8" t="s">
        <v>1073</v>
      </c>
      <c r="M358" s="8" t="s">
        <v>466</v>
      </c>
      <c r="N358" s="8" t="s">
        <v>495</v>
      </c>
      <c r="O358" s="8" t="s">
        <v>285</v>
      </c>
      <c r="P358" s="8" t="s">
        <v>153</v>
      </c>
      <c r="Q358" s="11">
        <v>200</v>
      </c>
      <c r="R358" s="11">
        <v>249000</v>
      </c>
      <c r="S358" s="9">
        <v>227</v>
      </c>
      <c r="T358" s="8" t="s">
        <v>53</v>
      </c>
      <c r="U358" s="9">
        <v>249</v>
      </c>
      <c r="V358" s="8" t="s">
        <v>1074</v>
      </c>
      <c r="W358" s="8" t="s">
        <v>1075</v>
      </c>
    </row>
    <row r="359" spans="1:23" x14ac:dyDescent="0.3">
      <c r="A359" s="2" t="s">
        <v>1076</v>
      </c>
      <c r="B359" s="3" t="s">
        <v>398</v>
      </c>
      <c r="C359" s="3" t="s">
        <v>1077</v>
      </c>
      <c r="D359" s="3" t="s">
        <v>284</v>
      </c>
      <c r="E359" s="3">
        <v>9495</v>
      </c>
      <c r="F359" s="4">
        <v>71</v>
      </c>
      <c r="G359" s="5">
        <v>5</v>
      </c>
      <c r="H359" s="5">
        <v>355</v>
      </c>
      <c r="I359" s="3" t="s">
        <v>1366</v>
      </c>
      <c r="J359" s="3" t="s">
        <v>1375</v>
      </c>
      <c r="K359" s="3" t="s">
        <v>1078</v>
      </c>
      <c r="L359" s="3" t="s">
        <v>431</v>
      </c>
      <c r="M359" s="3" t="s">
        <v>1079</v>
      </c>
      <c r="N359" s="3" t="s">
        <v>495</v>
      </c>
      <c r="O359" s="3" t="s">
        <v>285</v>
      </c>
      <c r="P359" s="3" t="s">
        <v>50</v>
      </c>
      <c r="Q359" s="6">
        <v>732</v>
      </c>
      <c r="R359" s="6">
        <v>259860</v>
      </c>
      <c r="S359" s="4">
        <v>191</v>
      </c>
      <c r="T359" s="3" t="s">
        <v>53</v>
      </c>
      <c r="U359" s="4">
        <v>71</v>
      </c>
      <c r="V359" s="3" t="e">
        <f>VLOOKUP(E359,'[1]Consolidated Stock'!$E:$V,18,0)</f>
        <v>#N/A</v>
      </c>
      <c r="W359" s="3" t="s">
        <v>385</v>
      </c>
    </row>
    <row r="360" spans="1:23" x14ac:dyDescent="0.3">
      <c r="A360" s="7" t="s">
        <v>1076</v>
      </c>
      <c r="B360" s="8" t="s">
        <v>398</v>
      </c>
      <c r="C360" s="8" t="s">
        <v>1077</v>
      </c>
      <c r="D360" s="8" t="s">
        <v>284</v>
      </c>
      <c r="E360" s="8">
        <v>9496</v>
      </c>
      <c r="F360" s="9">
        <v>45</v>
      </c>
      <c r="G360" s="10">
        <v>5</v>
      </c>
      <c r="H360" s="10">
        <v>225</v>
      </c>
      <c r="I360" s="8" t="s">
        <v>1366</v>
      </c>
      <c r="J360" s="8" t="s">
        <v>1371</v>
      </c>
      <c r="K360" s="8" t="s">
        <v>436</v>
      </c>
      <c r="L360" s="8" t="s">
        <v>370</v>
      </c>
      <c r="M360" s="8" t="s">
        <v>437</v>
      </c>
      <c r="N360" s="8" t="s">
        <v>495</v>
      </c>
      <c r="O360" s="8" t="s">
        <v>285</v>
      </c>
      <c r="P360" s="8" t="s">
        <v>50</v>
      </c>
      <c r="Q360" s="11">
        <v>635</v>
      </c>
      <c r="R360" s="11">
        <v>142875</v>
      </c>
      <c r="S360" s="9">
        <v>191</v>
      </c>
      <c r="T360" s="8" t="s">
        <v>53</v>
      </c>
      <c r="U360" s="9">
        <v>45</v>
      </c>
      <c r="V360" s="8" t="e">
        <f>VLOOKUP(E360,'[1]Consolidated Stock'!$E:$V,18,0)</f>
        <v>#N/A</v>
      </c>
      <c r="W360" s="8" t="s">
        <v>1080</v>
      </c>
    </row>
    <row r="361" spans="1:23" x14ac:dyDescent="0.3">
      <c r="A361" s="2" t="s">
        <v>1076</v>
      </c>
      <c r="B361" s="3" t="s">
        <v>398</v>
      </c>
      <c r="C361" s="3" t="s">
        <v>1077</v>
      </c>
      <c r="D361" s="3" t="s">
        <v>284</v>
      </c>
      <c r="E361" s="3">
        <v>9497</v>
      </c>
      <c r="F361" s="4">
        <v>79</v>
      </c>
      <c r="G361" s="5">
        <v>5</v>
      </c>
      <c r="H361" s="5">
        <v>395</v>
      </c>
      <c r="I361" s="3" t="s">
        <v>1366</v>
      </c>
      <c r="J361" s="3" t="s">
        <v>1371</v>
      </c>
      <c r="K361" s="3" t="s">
        <v>430</v>
      </c>
      <c r="L361" s="3" t="s">
        <v>431</v>
      </c>
      <c r="M361" s="3" t="s">
        <v>432</v>
      </c>
      <c r="N361" s="3" t="s">
        <v>495</v>
      </c>
      <c r="O361" s="3" t="s">
        <v>285</v>
      </c>
      <c r="P361" s="3" t="s">
        <v>50</v>
      </c>
      <c r="Q361" s="6">
        <v>845</v>
      </c>
      <c r="R361" s="6">
        <v>333775</v>
      </c>
      <c r="S361" s="4">
        <v>191</v>
      </c>
      <c r="T361" s="3" t="s">
        <v>53</v>
      </c>
      <c r="U361" s="4">
        <v>79</v>
      </c>
      <c r="V361" s="3" t="e">
        <f>VLOOKUP(E361,'[1]Consolidated Stock'!$E:$V,18,0)</f>
        <v>#N/A</v>
      </c>
      <c r="W361" s="3" t="s">
        <v>380</v>
      </c>
    </row>
    <row r="362" spans="1:23" x14ac:dyDescent="0.3">
      <c r="A362" s="7" t="s">
        <v>1076</v>
      </c>
      <c r="B362" s="8" t="s">
        <v>398</v>
      </c>
      <c r="C362" s="8" t="s">
        <v>1077</v>
      </c>
      <c r="D362" s="8" t="s">
        <v>284</v>
      </c>
      <c r="E362" s="8">
        <v>9498</v>
      </c>
      <c r="F362" s="9">
        <v>23</v>
      </c>
      <c r="G362" s="10">
        <v>5</v>
      </c>
      <c r="H362" s="10">
        <v>115</v>
      </c>
      <c r="I362" s="8" t="s">
        <v>1366</v>
      </c>
      <c r="J362" s="8" t="s">
        <v>1370</v>
      </c>
      <c r="K362" s="8" t="s">
        <v>483</v>
      </c>
      <c r="L362" s="8" t="s">
        <v>370</v>
      </c>
      <c r="M362" s="8" t="s">
        <v>484</v>
      </c>
      <c r="N362" s="8" t="s">
        <v>495</v>
      </c>
      <c r="O362" s="8" t="s">
        <v>285</v>
      </c>
      <c r="P362" s="8" t="s">
        <v>50</v>
      </c>
      <c r="Q362" s="11">
        <v>565</v>
      </c>
      <c r="R362" s="11">
        <v>64975</v>
      </c>
      <c r="S362" s="9">
        <v>191</v>
      </c>
      <c r="T362" s="8" t="s">
        <v>53</v>
      </c>
      <c r="U362" s="9">
        <v>23</v>
      </c>
      <c r="V362" s="8" t="e">
        <f>VLOOKUP(E362,'[1]Consolidated Stock'!$E:$V,18,0)</f>
        <v>#N/A</v>
      </c>
      <c r="W362" s="8" t="s">
        <v>391</v>
      </c>
    </row>
    <row r="363" spans="1:23" x14ac:dyDescent="0.3">
      <c r="A363" s="2" t="s">
        <v>1081</v>
      </c>
      <c r="B363" s="3" t="s">
        <v>398</v>
      </c>
      <c r="C363" s="3" t="s">
        <v>1082</v>
      </c>
      <c r="D363" s="3" t="s">
        <v>284</v>
      </c>
      <c r="E363" s="3">
        <v>9976</v>
      </c>
      <c r="F363" s="4">
        <v>10</v>
      </c>
      <c r="G363" s="5">
        <v>5</v>
      </c>
      <c r="H363" s="5">
        <v>50</v>
      </c>
      <c r="I363" s="3" t="s">
        <v>1366</v>
      </c>
      <c r="J363" s="3" t="s">
        <v>1380</v>
      </c>
      <c r="K363" s="3" t="s">
        <v>887</v>
      </c>
      <c r="L363" s="3" t="s">
        <v>887</v>
      </c>
      <c r="M363" s="3" t="s">
        <v>888</v>
      </c>
      <c r="N363" s="3" t="s">
        <v>495</v>
      </c>
      <c r="O363" s="3" t="s">
        <v>285</v>
      </c>
      <c r="P363" s="3" t="s">
        <v>372</v>
      </c>
      <c r="Q363" s="6">
        <v>527</v>
      </c>
      <c r="R363" s="6">
        <v>26350</v>
      </c>
      <c r="S363" s="4">
        <v>181</v>
      </c>
      <c r="T363" s="3" t="s">
        <v>53</v>
      </c>
      <c r="U363" s="4">
        <v>10</v>
      </c>
      <c r="V363" s="3" t="e">
        <f>VLOOKUP(E363,'[1]Consolidated Stock'!$E:$V,18,0)</f>
        <v>#N/A</v>
      </c>
      <c r="W363" s="3" t="s">
        <v>427</v>
      </c>
    </row>
    <row r="364" spans="1:23" x14ac:dyDescent="0.3">
      <c r="A364" s="12" t="s">
        <v>1083</v>
      </c>
      <c r="B364" s="13" t="s">
        <v>398</v>
      </c>
      <c r="C364" s="13" t="s">
        <v>1084</v>
      </c>
      <c r="D364" s="13" t="s">
        <v>284</v>
      </c>
      <c r="E364" s="13">
        <v>10470</v>
      </c>
      <c r="F364" s="14">
        <v>47</v>
      </c>
      <c r="G364" s="15">
        <v>5</v>
      </c>
      <c r="H364" s="15">
        <v>235</v>
      </c>
      <c r="I364" s="13" t="s">
        <v>1366</v>
      </c>
      <c r="J364" s="13" t="s">
        <v>369</v>
      </c>
      <c r="K364" s="13" t="s">
        <v>1085</v>
      </c>
      <c r="L364" s="13" t="s">
        <v>370</v>
      </c>
      <c r="M364" s="13" t="s">
        <v>914</v>
      </c>
      <c r="N364" s="13" t="s">
        <v>495</v>
      </c>
      <c r="O364" s="13" t="s">
        <v>285</v>
      </c>
      <c r="P364" s="13" t="s">
        <v>372</v>
      </c>
      <c r="Q364" s="16">
        <v>860</v>
      </c>
      <c r="R364" s="16">
        <v>202100</v>
      </c>
      <c r="S364" s="14">
        <v>172</v>
      </c>
      <c r="T364" s="13" t="s">
        <v>79</v>
      </c>
      <c r="U364" s="14">
        <v>47</v>
      </c>
      <c r="V364" s="13" t="s">
        <v>1359</v>
      </c>
      <c r="W364" s="13" t="s">
        <v>1358</v>
      </c>
    </row>
    <row r="365" spans="1:23" x14ac:dyDescent="0.3">
      <c r="A365" s="2" t="s">
        <v>1086</v>
      </c>
      <c r="B365" s="3" t="s">
        <v>398</v>
      </c>
      <c r="C365" s="3" t="s">
        <v>1087</v>
      </c>
      <c r="D365" s="3" t="s">
        <v>1088</v>
      </c>
      <c r="E365" s="3">
        <v>10570</v>
      </c>
      <c r="F365" s="4">
        <v>9</v>
      </c>
      <c r="G365" s="5">
        <v>5</v>
      </c>
      <c r="H365" s="5">
        <v>45</v>
      </c>
      <c r="I365" s="3" t="s">
        <v>1366</v>
      </c>
      <c r="J365" s="3" t="s">
        <v>369</v>
      </c>
      <c r="K365" s="3" t="s">
        <v>1085</v>
      </c>
      <c r="L365" s="3" t="s">
        <v>1089</v>
      </c>
      <c r="M365" s="3" t="s">
        <v>914</v>
      </c>
      <c r="N365" s="3" t="s">
        <v>495</v>
      </c>
      <c r="O365" s="3" t="s">
        <v>285</v>
      </c>
      <c r="P365" s="3" t="s">
        <v>372</v>
      </c>
      <c r="Q365" s="6">
        <v>860</v>
      </c>
      <c r="R365" s="6">
        <v>38700</v>
      </c>
      <c r="S365" s="4">
        <v>170</v>
      </c>
      <c r="T365" s="3" t="s">
        <v>79</v>
      </c>
      <c r="U365" s="4">
        <v>9</v>
      </c>
      <c r="V365" s="3" t="s">
        <v>1090</v>
      </c>
      <c r="W365" s="3" t="s">
        <v>1091</v>
      </c>
    </row>
    <row r="366" spans="1:23" x14ac:dyDescent="0.3">
      <c r="A366" s="7" t="s">
        <v>1092</v>
      </c>
      <c r="B366" s="8" t="s">
        <v>398</v>
      </c>
      <c r="C366" s="8" t="s">
        <v>1093</v>
      </c>
      <c r="D366" s="8" t="s">
        <v>1094</v>
      </c>
      <c r="E366" s="8">
        <v>10570</v>
      </c>
      <c r="F366" s="9">
        <v>50</v>
      </c>
      <c r="G366" s="10">
        <v>5</v>
      </c>
      <c r="H366" s="10">
        <v>250</v>
      </c>
      <c r="I366" s="8" t="s">
        <v>1366</v>
      </c>
      <c r="J366" s="8" t="s">
        <v>369</v>
      </c>
      <c r="K366" s="8" t="s">
        <v>1085</v>
      </c>
      <c r="L366" s="8" t="s">
        <v>1089</v>
      </c>
      <c r="M366" s="8" t="s">
        <v>914</v>
      </c>
      <c r="N366" s="8" t="s">
        <v>495</v>
      </c>
      <c r="O366" s="8" t="s">
        <v>285</v>
      </c>
      <c r="P366" s="8" t="s">
        <v>372</v>
      </c>
      <c r="Q366" s="11">
        <v>860</v>
      </c>
      <c r="R366" s="11">
        <v>215000</v>
      </c>
      <c r="S366" s="9">
        <v>118</v>
      </c>
      <c r="T366" s="8" t="s">
        <v>79</v>
      </c>
      <c r="U366" s="9">
        <v>50</v>
      </c>
      <c r="V366" s="8" t="s">
        <v>1095</v>
      </c>
      <c r="W366" s="8" t="s">
        <v>42</v>
      </c>
    </row>
    <row r="367" spans="1:23" x14ac:dyDescent="0.3">
      <c r="A367" s="2" t="s">
        <v>1096</v>
      </c>
      <c r="B367" s="3" t="s">
        <v>398</v>
      </c>
      <c r="C367" s="3" t="s">
        <v>1097</v>
      </c>
      <c r="D367" s="3" t="s">
        <v>284</v>
      </c>
      <c r="E367" s="3">
        <v>10665</v>
      </c>
      <c r="F367" s="4">
        <v>2</v>
      </c>
      <c r="G367" s="5">
        <v>10</v>
      </c>
      <c r="H367" s="5">
        <v>20</v>
      </c>
      <c r="I367" s="3" t="s">
        <v>1378</v>
      </c>
      <c r="J367" s="3" t="s">
        <v>1379</v>
      </c>
      <c r="K367" s="3" t="s">
        <v>505</v>
      </c>
      <c r="L367" s="3" t="s">
        <v>255</v>
      </c>
      <c r="M367" s="3" t="s">
        <v>507</v>
      </c>
      <c r="N367" s="3" t="s">
        <v>495</v>
      </c>
      <c r="O367" s="3" t="s">
        <v>285</v>
      </c>
      <c r="P367" s="3">
        <v>0</v>
      </c>
      <c r="Q367" s="6">
        <v>900</v>
      </c>
      <c r="R367" s="6">
        <v>18000</v>
      </c>
      <c r="S367" s="4">
        <v>167</v>
      </c>
      <c r="T367" s="3" t="s">
        <v>79</v>
      </c>
      <c r="U367" s="4">
        <v>2</v>
      </c>
      <c r="V367" s="3" t="e">
        <f>VLOOKUP(E367,'[1]Consolidated Stock'!$E:$V,18,0)</f>
        <v>#N/A</v>
      </c>
      <c r="W367" s="3" t="s">
        <v>1098</v>
      </c>
    </row>
    <row r="368" spans="1:23" x14ac:dyDescent="0.3">
      <c r="A368" s="7" t="s">
        <v>1099</v>
      </c>
      <c r="B368" s="8" t="s">
        <v>398</v>
      </c>
      <c r="C368" s="8" t="s">
        <v>1100</v>
      </c>
      <c r="D368" s="8" t="s">
        <v>1101</v>
      </c>
      <c r="E368" s="8">
        <v>11204</v>
      </c>
      <c r="F368" s="9">
        <v>123</v>
      </c>
      <c r="G368" s="10">
        <v>16</v>
      </c>
      <c r="H368" s="10">
        <v>1968</v>
      </c>
      <c r="I368" s="8" t="s">
        <v>1376</v>
      </c>
      <c r="J368" s="8" t="s">
        <v>1383</v>
      </c>
      <c r="K368" s="8" t="s">
        <v>1102</v>
      </c>
      <c r="L368" s="8" t="s">
        <v>1103</v>
      </c>
      <c r="M368" s="8" t="s">
        <v>1104</v>
      </c>
      <c r="N368" s="8" t="s">
        <v>495</v>
      </c>
      <c r="O368" s="8" t="s">
        <v>285</v>
      </c>
      <c r="P368" s="8">
        <v>0</v>
      </c>
      <c r="Q368" s="11">
        <v>370</v>
      </c>
      <c r="R368" s="11">
        <v>728160</v>
      </c>
      <c r="S368" s="9">
        <v>156</v>
      </c>
      <c r="T368" s="8" t="s">
        <v>79</v>
      </c>
      <c r="U368" s="9">
        <v>123</v>
      </c>
      <c r="V368" s="8" t="s">
        <v>1105</v>
      </c>
      <c r="W368" s="8" t="s">
        <v>1106</v>
      </c>
    </row>
    <row r="369" spans="1:23" x14ac:dyDescent="0.3">
      <c r="A369" s="2" t="s">
        <v>1107</v>
      </c>
      <c r="B369" s="3" t="s">
        <v>398</v>
      </c>
      <c r="C369" s="3" t="s">
        <v>1108</v>
      </c>
      <c r="D369" s="3" t="s">
        <v>1109</v>
      </c>
      <c r="E369" s="3">
        <v>11992</v>
      </c>
      <c r="F369" s="4">
        <v>3</v>
      </c>
      <c r="G369" s="5">
        <v>7</v>
      </c>
      <c r="H369" s="5">
        <v>21</v>
      </c>
      <c r="I369" s="3" t="s">
        <v>1366</v>
      </c>
      <c r="J369" s="3" t="s">
        <v>896</v>
      </c>
      <c r="K369" s="3" t="s">
        <v>896</v>
      </c>
      <c r="L369" s="3" t="s">
        <v>897</v>
      </c>
      <c r="M369" s="3" t="s">
        <v>898</v>
      </c>
      <c r="N369" s="3" t="s">
        <v>495</v>
      </c>
      <c r="O369" s="3" t="s">
        <v>285</v>
      </c>
      <c r="P369" s="3" t="s">
        <v>372</v>
      </c>
      <c r="Q369" s="6">
        <v>1425</v>
      </c>
      <c r="R369" s="6">
        <v>29925</v>
      </c>
      <c r="S369" s="4">
        <v>136</v>
      </c>
      <c r="T369" s="3" t="s">
        <v>79</v>
      </c>
      <c r="U369" s="4">
        <v>3</v>
      </c>
      <c r="V369" s="3" t="s">
        <v>1110</v>
      </c>
      <c r="W369" s="3" t="s">
        <v>423</v>
      </c>
    </row>
    <row r="370" spans="1:23" x14ac:dyDescent="0.3">
      <c r="A370" s="7" t="s">
        <v>918</v>
      </c>
      <c r="B370" s="8" t="s">
        <v>398</v>
      </c>
      <c r="C370" s="8" t="s">
        <v>1111</v>
      </c>
      <c r="D370" s="8" t="s">
        <v>284</v>
      </c>
      <c r="E370" s="8">
        <v>13659</v>
      </c>
      <c r="F370" s="9">
        <v>221</v>
      </c>
      <c r="G370" s="10">
        <v>5</v>
      </c>
      <c r="H370" s="10">
        <v>1105</v>
      </c>
      <c r="I370" s="8" t="s">
        <v>1366</v>
      </c>
      <c r="J370" s="8" t="s">
        <v>1014</v>
      </c>
      <c r="K370" s="8" t="s">
        <v>290</v>
      </c>
      <c r="L370" s="8" t="s">
        <v>126</v>
      </c>
      <c r="M370" s="8" t="s">
        <v>1016</v>
      </c>
      <c r="N370" s="8" t="s">
        <v>495</v>
      </c>
      <c r="O370" s="8" t="s">
        <v>285</v>
      </c>
      <c r="P370" s="8" t="s">
        <v>28</v>
      </c>
      <c r="Q370" s="11">
        <v>681</v>
      </c>
      <c r="R370" s="11">
        <v>752505</v>
      </c>
      <c r="S370" s="9">
        <v>93</v>
      </c>
      <c r="T370" s="8" t="s">
        <v>79</v>
      </c>
      <c r="U370" s="9">
        <v>221</v>
      </c>
      <c r="V370" s="8" t="e">
        <f>VLOOKUP(E370,'[1]Consolidated Stock'!$E:$V,18,0)</f>
        <v>#N/A</v>
      </c>
      <c r="W370" s="8" t="s">
        <v>1112</v>
      </c>
    </row>
    <row r="371" spans="1:23" x14ac:dyDescent="0.3">
      <c r="A371" s="2" t="s">
        <v>974</v>
      </c>
      <c r="B371" s="3" t="s">
        <v>398</v>
      </c>
      <c r="C371" s="3" t="s">
        <v>1113</v>
      </c>
      <c r="D371" s="3" t="s">
        <v>1114</v>
      </c>
      <c r="E371" s="3">
        <v>13786</v>
      </c>
      <c r="F371" s="4">
        <v>1</v>
      </c>
      <c r="G371" s="5">
        <v>5</v>
      </c>
      <c r="H371" s="5">
        <v>5</v>
      </c>
      <c r="I371" s="3" t="s">
        <v>1366</v>
      </c>
      <c r="J371" s="3" t="s">
        <v>369</v>
      </c>
      <c r="K371" s="3" t="s">
        <v>810</v>
      </c>
      <c r="L371" s="3" t="s">
        <v>153</v>
      </c>
      <c r="M371" s="3" t="s">
        <v>811</v>
      </c>
      <c r="N371" s="3" t="s">
        <v>495</v>
      </c>
      <c r="O371" s="3" t="s">
        <v>285</v>
      </c>
      <c r="P371" s="3" t="s">
        <v>50</v>
      </c>
      <c r="Q371" s="6">
        <v>900.77</v>
      </c>
      <c r="R371" s="6">
        <v>4503.8500000000004</v>
      </c>
      <c r="S371" s="4">
        <v>88</v>
      </c>
      <c r="T371" s="3" t="s">
        <v>79</v>
      </c>
      <c r="U371" s="4">
        <v>1</v>
      </c>
      <c r="V371" s="3" t="s">
        <v>1115</v>
      </c>
      <c r="W371" s="3" t="s">
        <v>1116</v>
      </c>
    </row>
    <row r="372" spans="1:23" x14ac:dyDescent="0.3">
      <c r="A372" s="7" t="s">
        <v>974</v>
      </c>
      <c r="B372" s="8" t="s">
        <v>398</v>
      </c>
      <c r="C372" s="8" t="s">
        <v>1113</v>
      </c>
      <c r="D372" s="8" t="s">
        <v>1117</v>
      </c>
      <c r="E372" s="8">
        <v>13787</v>
      </c>
      <c r="F372" s="9">
        <v>1</v>
      </c>
      <c r="G372" s="10">
        <v>5</v>
      </c>
      <c r="H372" s="10">
        <v>5</v>
      </c>
      <c r="I372" s="8" t="s">
        <v>1366</v>
      </c>
      <c r="J372" s="8" t="s">
        <v>451</v>
      </c>
      <c r="K372" s="8" t="s">
        <v>807</v>
      </c>
      <c r="L372" s="8" t="s">
        <v>153</v>
      </c>
      <c r="M372" s="8" t="s">
        <v>809</v>
      </c>
      <c r="N372" s="8" t="s">
        <v>495</v>
      </c>
      <c r="O372" s="8" t="s">
        <v>285</v>
      </c>
      <c r="P372" s="8" t="s">
        <v>50</v>
      </c>
      <c r="Q372" s="11">
        <v>1089.42</v>
      </c>
      <c r="R372" s="11">
        <v>5447.1</v>
      </c>
      <c r="S372" s="9">
        <v>88</v>
      </c>
      <c r="T372" s="8" t="s">
        <v>79</v>
      </c>
      <c r="U372" s="9">
        <v>1</v>
      </c>
      <c r="V372" s="8" t="s">
        <v>1118</v>
      </c>
      <c r="W372" s="8" t="s">
        <v>1119</v>
      </c>
    </row>
    <row r="373" spans="1:23" x14ac:dyDescent="0.3">
      <c r="A373" s="12" t="s">
        <v>974</v>
      </c>
      <c r="B373" s="13" t="s">
        <v>398</v>
      </c>
      <c r="C373" s="13" t="s">
        <v>1113</v>
      </c>
      <c r="D373" s="13" t="s">
        <v>1120</v>
      </c>
      <c r="E373" s="13">
        <v>13788</v>
      </c>
      <c r="F373" s="14">
        <v>1</v>
      </c>
      <c r="G373" s="15">
        <v>5</v>
      </c>
      <c r="H373" s="15">
        <v>5</v>
      </c>
      <c r="I373" s="13" t="s">
        <v>1366</v>
      </c>
      <c r="J373" s="13" t="s">
        <v>1375</v>
      </c>
      <c r="K373" s="13" t="s">
        <v>1054</v>
      </c>
      <c r="L373" s="13" t="s">
        <v>153</v>
      </c>
      <c r="M373" s="13" t="s">
        <v>1055</v>
      </c>
      <c r="N373" s="13" t="s">
        <v>495</v>
      </c>
      <c r="O373" s="13" t="s">
        <v>285</v>
      </c>
      <c r="P373" s="13" t="s">
        <v>50</v>
      </c>
      <c r="Q373" s="16">
        <v>462</v>
      </c>
      <c r="R373" s="16">
        <v>2310</v>
      </c>
      <c r="S373" s="14">
        <v>88</v>
      </c>
      <c r="T373" s="13" t="s">
        <v>79</v>
      </c>
      <c r="U373" s="14">
        <v>1</v>
      </c>
      <c r="V373" s="13"/>
      <c r="W373" s="13"/>
    </row>
    <row r="374" spans="1:23" x14ac:dyDescent="0.3">
      <c r="A374" s="7" t="s">
        <v>974</v>
      </c>
      <c r="B374" s="8" t="s">
        <v>398</v>
      </c>
      <c r="C374" s="8" t="s">
        <v>1113</v>
      </c>
      <c r="D374" s="8" t="s">
        <v>1121</v>
      </c>
      <c r="E374" s="8">
        <v>13789</v>
      </c>
      <c r="F374" s="9">
        <v>1</v>
      </c>
      <c r="G374" s="10">
        <v>5</v>
      </c>
      <c r="H374" s="10">
        <v>5</v>
      </c>
      <c r="I374" s="8" t="s">
        <v>1366</v>
      </c>
      <c r="J374" s="8" t="s">
        <v>1375</v>
      </c>
      <c r="K374" s="8" t="s">
        <v>1122</v>
      </c>
      <c r="L374" s="8" t="s">
        <v>153</v>
      </c>
      <c r="M374" s="8" t="s">
        <v>1123</v>
      </c>
      <c r="N374" s="8" t="s">
        <v>495</v>
      </c>
      <c r="O374" s="8" t="s">
        <v>285</v>
      </c>
      <c r="P374" s="8" t="s">
        <v>50</v>
      </c>
      <c r="Q374" s="11">
        <v>403</v>
      </c>
      <c r="R374" s="11">
        <v>2015</v>
      </c>
      <c r="S374" s="9">
        <v>88</v>
      </c>
      <c r="T374" s="8" t="s">
        <v>79</v>
      </c>
      <c r="U374" s="9">
        <v>1</v>
      </c>
      <c r="V374" s="8" t="s">
        <v>1124</v>
      </c>
      <c r="W374" s="8" t="s">
        <v>1125</v>
      </c>
    </row>
    <row r="375" spans="1:23" x14ac:dyDescent="0.3">
      <c r="A375" s="2" t="s">
        <v>974</v>
      </c>
      <c r="B375" s="3" t="s">
        <v>398</v>
      </c>
      <c r="C375" s="3" t="s">
        <v>1113</v>
      </c>
      <c r="D375" s="3" t="s">
        <v>1126</v>
      </c>
      <c r="E375" s="3">
        <v>13790</v>
      </c>
      <c r="F375" s="4">
        <v>1</v>
      </c>
      <c r="G375" s="5">
        <v>5</v>
      </c>
      <c r="H375" s="5">
        <v>5</v>
      </c>
      <c r="I375" s="3" t="s">
        <v>1366</v>
      </c>
      <c r="J375" s="3" t="s">
        <v>1375</v>
      </c>
      <c r="K375" s="3" t="s">
        <v>1078</v>
      </c>
      <c r="L375" s="3" t="s">
        <v>153</v>
      </c>
      <c r="M375" s="3" t="s">
        <v>1079</v>
      </c>
      <c r="N375" s="3" t="s">
        <v>495</v>
      </c>
      <c r="O375" s="3" t="s">
        <v>285</v>
      </c>
      <c r="P375" s="3" t="s">
        <v>50</v>
      </c>
      <c r="Q375" s="6">
        <v>732</v>
      </c>
      <c r="R375" s="6">
        <v>3660</v>
      </c>
      <c r="S375" s="4">
        <v>88</v>
      </c>
      <c r="T375" s="3" t="s">
        <v>79</v>
      </c>
      <c r="U375" s="4">
        <v>1</v>
      </c>
      <c r="V375" s="3" t="s">
        <v>1127</v>
      </c>
      <c r="W375" s="3" t="s">
        <v>1128</v>
      </c>
    </row>
    <row r="376" spans="1:23" x14ac:dyDescent="0.3">
      <c r="A376" s="7" t="s">
        <v>974</v>
      </c>
      <c r="B376" s="8" t="s">
        <v>398</v>
      </c>
      <c r="C376" s="8" t="s">
        <v>1113</v>
      </c>
      <c r="D376" s="8" t="s">
        <v>1129</v>
      </c>
      <c r="E376" s="8">
        <v>13791</v>
      </c>
      <c r="F376" s="9">
        <v>1</v>
      </c>
      <c r="G376" s="10">
        <v>5</v>
      </c>
      <c r="H376" s="10">
        <v>5</v>
      </c>
      <c r="I376" s="8" t="s">
        <v>1366</v>
      </c>
      <c r="J376" s="8" t="s">
        <v>1371</v>
      </c>
      <c r="K376" s="8" t="s">
        <v>436</v>
      </c>
      <c r="L376" s="8" t="s">
        <v>153</v>
      </c>
      <c r="M376" s="8" t="s">
        <v>437</v>
      </c>
      <c r="N376" s="8" t="s">
        <v>495</v>
      </c>
      <c r="O376" s="8" t="s">
        <v>285</v>
      </c>
      <c r="P376" s="8" t="s">
        <v>50</v>
      </c>
      <c r="Q376" s="11">
        <v>635</v>
      </c>
      <c r="R376" s="11">
        <v>3175</v>
      </c>
      <c r="S376" s="9">
        <v>88</v>
      </c>
      <c r="T376" s="8" t="s">
        <v>79</v>
      </c>
      <c r="U376" s="9">
        <v>1</v>
      </c>
      <c r="V376" s="8" t="s">
        <v>1130</v>
      </c>
      <c r="W376" s="8" t="s">
        <v>145</v>
      </c>
    </row>
    <row r="377" spans="1:23" x14ac:dyDescent="0.3">
      <c r="A377" s="2" t="s">
        <v>974</v>
      </c>
      <c r="B377" s="3" t="s">
        <v>398</v>
      </c>
      <c r="C377" s="3" t="s">
        <v>1113</v>
      </c>
      <c r="D377" s="3" t="s">
        <v>1131</v>
      </c>
      <c r="E377" s="3">
        <v>13792</v>
      </c>
      <c r="F377" s="4">
        <v>1</v>
      </c>
      <c r="G377" s="5">
        <v>5</v>
      </c>
      <c r="H377" s="5">
        <v>5</v>
      </c>
      <c r="I377" s="3" t="s">
        <v>1366</v>
      </c>
      <c r="J377" s="3" t="s">
        <v>1371</v>
      </c>
      <c r="K377" s="3" t="s">
        <v>430</v>
      </c>
      <c r="L377" s="3" t="s">
        <v>153</v>
      </c>
      <c r="M377" s="3" t="s">
        <v>432</v>
      </c>
      <c r="N377" s="3" t="s">
        <v>495</v>
      </c>
      <c r="O377" s="3" t="s">
        <v>285</v>
      </c>
      <c r="P377" s="3" t="s">
        <v>50</v>
      </c>
      <c r="Q377" s="6">
        <v>845</v>
      </c>
      <c r="R377" s="6">
        <v>4225</v>
      </c>
      <c r="S377" s="4">
        <v>88</v>
      </c>
      <c r="T377" s="3" t="s">
        <v>79</v>
      </c>
      <c r="U377" s="4">
        <v>1</v>
      </c>
      <c r="V377" s="3" t="s">
        <v>1132</v>
      </c>
      <c r="W377" s="3" t="s">
        <v>1133</v>
      </c>
    </row>
    <row r="378" spans="1:23" x14ac:dyDescent="0.3">
      <c r="A378" s="7" t="s">
        <v>974</v>
      </c>
      <c r="B378" s="8" t="s">
        <v>398</v>
      </c>
      <c r="C378" s="8" t="s">
        <v>1113</v>
      </c>
      <c r="D378" s="8" t="s">
        <v>1134</v>
      </c>
      <c r="E378" s="8">
        <v>13793</v>
      </c>
      <c r="F378" s="9">
        <v>1</v>
      </c>
      <c r="G378" s="10">
        <v>5</v>
      </c>
      <c r="H378" s="10">
        <v>5</v>
      </c>
      <c r="I378" s="8" t="s">
        <v>1366</v>
      </c>
      <c r="J378" s="8" t="s">
        <v>1370</v>
      </c>
      <c r="K378" s="8" t="s">
        <v>483</v>
      </c>
      <c r="L378" s="8" t="s">
        <v>153</v>
      </c>
      <c r="M378" s="8" t="s">
        <v>484</v>
      </c>
      <c r="N378" s="8" t="s">
        <v>495</v>
      </c>
      <c r="O378" s="8" t="s">
        <v>285</v>
      </c>
      <c r="P378" s="8" t="s">
        <v>50</v>
      </c>
      <c r="Q378" s="11">
        <v>565</v>
      </c>
      <c r="R378" s="11">
        <v>2825</v>
      </c>
      <c r="S378" s="9">
        <v>88</v>
      </c>
      <c r="T378" s="8" t="s">
        <v>79</v>
      </c>
      <c r="U378" s="9">
        <v>1</v>
      </c>
      <c r="V378" s="8" t="s">
        <v>1135</v>
      </c>
      <c r="W378" s="8" t="s">
        <v>1136</v>
      </c>
    </row>
    <row r="379" spans="1:23" x14ac:dyDescent="0.3">
      <c r="A379" s="2" t="s">
        <v>1137</v>
      </c>
      <c r="B379" s="3" t="s">
        <v>398</v>
      </c>
      <c r="C379" s="3" t="s">
        <v>1138</v>
      </c>
      <c r="D379" s="3" t="s">
        <v>284</v>
      </c>
      <c r="E379" s="3">
        <v>14726</v>
      </c>
      <c r="F379" s="4">
        <v>97</v>
      </c>
      <c r="G379" s="5">
        <v>5</v>
      </c>
      <c r="H379" s="5">
        <v>485</v>
      </c>
      <c r="I379" s="3" t="s">
        <v>1366</v>
      </c>
      <c r="J379" s="3" t="s">
        <v>1369</v>
      </c>
      <c r="K379" s="3" t="s">
        <v>464</v>
      </c>
      <c r="L379" s="3" t="s">
        <v>1139</v>
      </c>
      <c r="M379" s="3" t="s">
        <v>466</v>
      </c>
      <c r="N379" s="3" t="s">
        <v>495</v>
      </c>
      <c r="O379" s="3" t="s">
        <v>285</v>
      </c>
      <c r="P379" s="3" t="s">
        <v>153</v>
      </c>
      <c r="Q379" s="6">
        <v>200</v>
      </c>
      <c r="R379" s="6">
        <v>97000</v>
      </c>
      <c r="S379" s="4">
        <v>60</v>
      </c>
      <c r="T379" s="3" t="s">
        <v>79</v>
      </c>
      <c r="U379" s="4">
        <v>97</v>
      </c>
      <c r="V379" s="3" t="e">
        <f>VLOOKUP(E379,'[1]Consolidated Stock'!$E:$V,18,0)</f>
        <v>#N/A</v>
      </c>
      <c r="W379" s="3" t="s">
        <v>1140</v>
      </c>
    </row>
    <row r="380" spans="1:23" x14ac:dyDescent="0.3">
      <c r="A380" s="7" t="s">
        <v>1137</v>
      </c>
      <c r="B380" s="8" t="s">
        <v>398</v>
      </c>
      <c r="C380" s="8" t="s">
        <v>1138</v>
      </c>
      <c r="D380" s="8" t="s">
        <v>1141</v>
      </c>
      <c r="E380" s="8">
        <v>14727</v>
      </c>
      <c r="F380" s="9">
        <v>47</v>
      </c>
      <c r="G380" s="10">
        <v>5</v>
      </c>
      <c r="H380" s="10">
        <v>235</v>
      </c>
      <c r="I380" s="8" t="s">
        <v>1366</v>
      </c>
      <c r="J380" s="8" t="s">
        <v>369</v>
      </c>
      <c r="K380" s="8" t="s">
        <v>1085</v>
      </c>
      <c r="L380" s="8" t="s">
        <v>1142</v>
      </c>
      <c r="M380" s="8" t="s">
        <v>914</v>
      </c>
      <c r="N380" s="8" t="s">
        <v>495</v>
      </c>
      <c r="O380" s="8" t="s">
        <v>285</v>
      </c>
      <c r="P380" s="8" t="s">
        <v>372</v>
      </c>
      <c r="Q380" s="11">
        <v>860</v>
      </c>
      <c r="R380" s="11">
        <v>202100</v>
      </c>
      <c r="S380" s="9">
        <v>60</v>
      </c>
      <c r="T380" s="8" t="s">
        <v>79</v>
      </c>
      <c r="U380" s="9">
        <v>47</v>
      </c>
      <c r="V380" s="8" t="s">
        <v>1143</v>
      </c>
      <c r="W380" s="8" t="s">
        <v>1144</v>
      </c>
    </row>
    <row r="381" spans="1:23" x14ac:dyDescent="0.3">
      <c r="A381" s="2" t="s">
        <v>1145</v>
      </c>
      <c r="B381" s="3" t="s">
        <v>398</v>
      </c>
      <c r="C381" s="3" t="s">
        <v>1146</v>
      </c>
      <c r="D381" s="3" t="s">
        <v>1147</v>
      </c>
      <c r="E381" s="3">
        <v>15192</v>
      </c>
      <c r="F381" s="4">
        <v>30</v>
      </c>
      <c r="G381" s="5">
        <v>10</v>
      </c>
      <c r="H381" s="5">
        <v>300</v>
      </c>
      <c r="I381" s="3" t="s">
        <v>1391</v>
      </c>
      <c r="J381" s="3" t="s">
        <v>1392</v>
      </c>
      <c r="K381" s="3" t="s">
        <v>1148</v>
      </c>
      <c r="L381" s="3" t="s">
        <v>1149</v>
      </c>
      <c r="M381" s="3" t="s">
        <v>1150</v>
      </c>
      <c r="N381" s="3" t="s">
        <v>495</v>
      </c>
      <c r="O381" s="3" t="s">
        <v>285</v>
      </c>
      <c r="P381" s="3">
        <v>0</v>
      </c>
      <c r="Q381" s="6">
        <v>1000</v>
      </c>
      <c r="R381" s="6">
        <v>300000</v>
      </c>
      <c r="S381" s="4">
        <v>51</v>
      </c>
      <c r="T381" s="3" t="s">
        <v>79</v>
      </c>
      <c r="U381" s="4">
        <v>30</v>
      </c>
      <c r="V381" s="3" t="s">
        <v>1151</v>
      </c>
      <c r="W381" s="3" t="s">
        <v>1152</v>
      </c>
    </row>
    <row r="382" spans="1:23" x14ac:dyDescent="0.3">
      <c r="A382" s="7" t="s">
        <v>1153</v>
      </c>
      <c r="B382" s="8" t="s">
        <v>398</v>
      </c>
      <c r="C382" s="8" t="s">
        <v>1154</v>
      </c>
      <c r="D382" s="8" t="s">
        <v>1155</v>
      </c>
      <c r="E382" s="8">
        <v>15231</v>
      </c>
      <c r="F382" s="9">
        <v>28</v>
      </c>
      <c r="G382" s="10">
        <v>6</v>
      </c>
      <c r="H382" s="10">
        <v>168</v>
      </c>
      <c r="I382" s="8" t="s">
        <v>1378</v>
      </c>
      <c r="J382" s="8" t="s">
        <v>1379</v>
      </c>
      <c r="K382" s="8" t="s">
        <v>1156</v>
      </c>
      <c r="L382" s="8" t="s">
        <v>1157</v>
      </c>
      <c r="M382" s="8" t="s">
        <v>1158</v>
      </c>
      <c r="N382" s="8" t="s">
        <v>495</v>
      </c>
      <c r="O382" s="8" t="s">
        <v>285</v>
      </c>
      <c r="P382" s="8" t="s">
        <v>372</v>
      </c>
      <c r="Q382" s="11">
        <v>1721</v>
      </c>
      <c r="R382" s="11">
        <v>289128</v>
      </c>
      <c r="S382" s="9">
        <v>48</v>
      </c>
      <c r="T382" s="8" t="s">
        <v>79</v>
      </c>
      <c r="U382" s="9">
        <v>28</v>
      </c>
      <c r="V382" s="8" t="s">
        <v>1159</v>
      </c>
      <c r="W382" s="8" t="s">
        <v>1160</v>
      </c>
    </row>
    <row r="383" spans="1:23" x14ac:dyDescent="0.3">
      <c r="A383" s="2" t="s">
        <v>1161</v>
      </c>
      <c r="B383" s="3" t="s">
        <v>398</v>
      </c>
      <c r="C383" s="3" t="s">
        <v>1162</v>
      </c>
      <c r="D383" s="3" t="s">
        <v>1163</v>
      </c>
      <c r="E383" s="3">
        <v>15703</v>
      </c>
      <c r="F383" s="4">
        <v>210</v>
      </c>
      <c r="G383" s="5">
        <v>5</v>
      </c>
      <c r="H383" s="5">
        <v>1050</v>
      </c>
      <c r="I383" s="3" t="s">
        <v>1366</v>
      </c>
      <c r="J383" s="3" t="s">
        <v>451</v>
      </c>
      <c r="K383" s="3" t="s">
        <v>451</v>
      </c>
      <c r="L383" s="3" t="s">
        <v>431</v>
      </c>
      <c r="M383" s="3" t="s">
        <v>908</v>
      </c>
      <c r="N383" s="3" t="s">
        <v>495</v>
      </c>
      <c r="O383" s="3" t="s">
        <v>285</v>
      </c>
      <c r="P383" s="3" t="s">
        <v>372</v>
      </c>
      <c r="Q383" s="6">
        <v>1057</v>
      </c>
      <c r="R383" s="6">
        <v>1109850</v>
      </c>
      <c r="S383" s="4">
        <v>35</v>
      </c>
      <c r="T383" s="3" t="s">
        <v>79</v>
      </c>
      <c r="U383" s="4">
        <v>210</v>
      </c>
      <c r="V383" s="3" t="s">
        <v>1164</v>
      </c>
      <c r="W383" s="3" t="s">
        <v>1165</v>
      </c>
    </row>
    <row r="384" spans="1:23" x14ac:dyDescent="0.3">
      <c r="A384" s="7" t="s">
        <v>1161</v>
      </c>
      <c r="B384" s="8" t="s">
        <v>398</v>
      </c>
      <c r="C384" s="8" t="s">
        <v>1162</v>
      </c>
      <c r="D384" s="8" t="s">
        <v>1166</v>
      </c>
      <c r="E384" s="8">
        <v>15704</v>
      </c>
      <c r="F384" s="9">
        <v>210</v>
      </c>
      <c r="G384" s="10">
        <v>5</v>
      </c>
      <c r="H384" s="10">
        <v>1050</v>
      </c>
      <c r="I384" s="8" t="s">
        <v>1366</v>
      </c>
      <c r="J384" s="8" t="s">
        <v>451</v>
      </c>
      <c r="K384" s="8" t="s">
        <v>451</v>
      </c>
      <c r="L384" s="8" t="s">
        <v>431</v>
      </c>
      <c r="M384" s="8" t="s">
        <v>908</v>
      </c>
      <c r="N384" s="8" t="s">
        <v>495</v>
      </c>
      <c r="O384" s="8" t="s">
        <v>285</v>
      </c>
      <c r="P384" s="8" t="s">
        <v>372</v>
      </c>
      <c r="Q384" s="11">
        <v>1057</v>
      </c>
      <c r="R384" s="11">
        <v>1109850</v>
      </c>
      <c r="S384" s="9">
        <v>35</v>
      </c>
      <c r="T384" s="8" t="s">
        <v>79</v>
      </c>
      <c r="U384" s="9">
        <v>210</v>
      </c>
      <c r="V384" s="8" t="s">
        <v>1167</v>
      </c>
      <c r="W384" s="8" t="s">
        <v>1168</v>
      </c>
    </row>
    <row r="385" spans="1:23" x14ac:dyDescent="0.3">
      <c r="A385" s="2" t="s">
        <v>1161</v>
      </c>
      <c r="B385" s="3" t="s">
        <v>398</v>
      </c>
      <c r="C385" s="3" t="s">
        <v>1162</v>
      </c>
      <c r="D385" s="3" t="s">
        <v>1169</v>
      </c>
      <c r="E385" s="3">
        <v>15705</v>
      </c>
      <c r="F385" s="4">
        <v>10</v>
      </c>
      <c r="G385" s="5">
        <v>5</v>
      </c>
      <c r="H385" s="5">
        <v>50</v>
      </c>
      <c r="I385" s="3" t="s">
        <v>1366</v>
      </c>
      <c r="J385" s="3" t="s">
        <v>451</v>
      </c>
      <c r="K385" s="3" t="s">
        <v>451</v>
      </c>
      <c r="L385" s="3" t="s">
        <v>431</v>
      </c>
      <c r="M385" s="3" t="s">
        <v>908</v>
      </c>
      <c r="N385" s="3" t="s">
        <v>495</v>
      </c>
      <c r="O385" s="3" t="s">
        <v>285</v>
      </c>
      <c r="P385" s="3" t="s">
        <v>372</v>
      </c>
      <c r="Q385" s="6">
        <v>1057</v>
      </c>
      <c r="R385" s="6">
        <v>52850</v>
      </c>
      <c r="S385" s="4">
        <v>35</v>
      </c>
      <c r="T385" s="3" t="s">
        <v>79</v>
      </c>
      <c r="U385" s="4">
        <v>10</v>
      </c>
      <c r="V385" s="3" t="s">
        <v>1170</v>
      </c>
      <c r="W385" s="3" t="s">
        <v>1171</v>
      </c>
    </row>
    <row r="386" spans="1:23" x14ac:dyDescent="0.3">
      <c r="A386" s="7" t="s">
        <v>1161</v>
      </c>
      <c r="B386" s="8" t="s">
        <v>398</v>
      </c>
      <c r="C386" s="8" t="s">
        <v>1172</v>
      </c>
      <c r="D386" s="8" t="s">
        <v>1173</v>
      </c>
      <c r="E386" s="8">
        <v>15706</v>
      </c>
      <c r="F386" s="9">
        <v>210</v>
      </c>
      <c r="G386" s="10">
        <v>5</v>
      </c>
      <c r="H386" s="10">
        <v>1050</v>
      </c>
      <c r="I386" s="8" t="s">
        <v>1366</v>
      </c>
      <c r="J386" s="8" t="s">
        <v>369</v>
      </c>
      <c r="K386" s="8" t="s">
        <v>369</v>
      </c>
      <c r="L386" s="8" t="s">
        <v>370</v>
      </c>
      <c r="M386" s="8" t="s">
        <v>914</v>
      </c>
      <c r="N386" s="8" t="s">
        <v>495</v>
      </c>
      <c r="O386" s="8" t="s">
        <v>285</v>
      </c>
      <c r="P386" s="8" t="s">
        <v>372</v>
      </c>
      <c r="Q386" s="11">
        <v>871.2</v>
      </c>
      <c r="R386" s="11">
        <v>914760</v>
      </c>
      <c r="S386" s="9">
        <v>35</v>
      </c>
      <c r="T386" s="8" t="s">
        <v>79</v>
      </c>
      <c r="U386" s="9">
        <v>210</v>
      </c>
      <c r="V386" s="8" t="s">
        <v>1174</v>
      </c>
      <c r="W386" s="8" t="s">
        <v>1175</v>
      </c>
    </row>
    <row r="387" spans="1:23" x14ac:dyDescent="0.3">
      <c r="A387" s="2" t="s">
        <v>1161</v>
      </c>
      <c r="B387" s="3" t="s">
        <v>398</v>
      </c>
      <c r="C387" s="3" t="s">
        <v>1172</v>
      </c>
      <c r="D387" s="3" t="s">
        <v>1176</v>
      </c>
      <c r="E387" s="3">
        <v>15707</v>
      </c>
      <c r="F387" s="4">
        <v>210</v>
      </c>
      <c r="G387" s="5">
        <v>5</v>
      </c>
      <c r="H387" s="5">
        <v>1050</v>
      </c>
      <c r="I387" s="3" t="s">
        <v>1366</v>
      </c>
      <c r="J387" s="3" t="s">
        <v>369</v>
      </c>
      <c r="K387" s="3" t="s">
        <v>369</v>
      </c>
      <c r="L387" s="3" t="s">
        <v>370</v>
      </c>
      <c r="M387" s="3" t="s">
        <v>914</v>
      </c>
      <c r="N387" s="3" t="s">
        <v>495</v>
      </c>
      <c r="O387" s="3" t="s">
        <v>285</v>
      </c>
      <c r="P387" s="3" t="s">
        <v>372</v>
      </c>
      <c r="Q387" s="6">
        <v>871.2</v>
      </c>
      <c r="R387" s="6">
        <v>914760</v>
      </c>
      <c r="S387" s="4">
        <v>35</v>
      </c>
      <c r="T387" s="3" t="s">
        <v>79</v>
      </c>
      <c r="U387" s="4">
        <v>210</v>
      </c>
      <c r="V387" s="3" t="s">
        <v>1177</v>
      </c>
      <c r="W387" s="3" t="s">
        <v>1178</v>
      </c>
    </row>
    <row r="388" spans="1:23" x14ac:dyDescent="0.3">
      <c r="A388" s="7" t="s">
        <v>1161</v>
      </c>
      <c r="B388" s="8" t="s">
        <v>398</v>
      </c>
      <c r="C388" s="8" t="s">
        <v>1172</v>
      </c>
      <c r="D388" s="8" t="s">
        <v>1179</v>
      </c>
      <c r="E388" s="8">
        <v>15708</v>
      </c>
      <c r="F388" s="9">
        <v>210</v>
      </c>
      <c r="G388" s="10">
        <v>5</v>
      </c>
      <c r="H388" s="10">
        <v>1050</v>
      </c>
      <c r="I388" s="8" t="s">
        <v>1366</v>
      </c>
      <c r="J388" s="8" t="s">
        <v>369</v>
      </c>
      <c r="K388" s="8" t="s">
        <v>369</v>
      </c>
      <c r="L388" s="8" t="s">
        <v>370</v>
      </c>
      <c r="M388" s="8" t="s">
        <v>914</v>
      </c>
      <c r="N388" s="8" t="s">
        <v>495</v>
      </c>
      <c r="O388" s="8" t="s">
        <v>285</v>
      </c>
      <c r="P388" s="8" t="s">
        <v>372</v>
      </c>
      <c r="Q388" s="11">
        <v>871.2</v>
      </c>
      <c r="R388" s="11">
        <v>914760</v>
      </c>
      <c r="S388" s="9">
        <v>35</v>
      </c>
      <c r="T388" s="8" t="s">
        <v>79</v>
      </c>
      <c r="U388" s="9">
        <v>210</v>
      </c>
      <c r="V388" s="8" t="s">
        <v>1180</v>
      </c>
      <c r="W388" s="8" t="s">
        <v>1181</v>
      </c>
    </row>
    <row r="389" spans="1:23" x14ac:dyDescent="0.3">
      <c r="A389" s="2" t="s">
        <v>1161</v>
      </c>
      <c r="B389" s="3" t="s">
        <v>398</v>
      </c>
      <c r="C389" s="3" t="s">
        <v>1172</v>
      </c>
      <c r="D389" s="3" t="s">
        <v>1182</v>
      </c>
      <c r="E389" s="3">
        <v>15709</v>
      </c>
      <c r="F389" s="4">
        <v>208</v>
      </c>
      <c r="G389" s="5">
        <v>5</v>
      </c>
      <c r="H389" s="5">
        <v>1040</v>
      </c>
      <c r="I389" s="3" t="s">
        <v>1366</v>
      </c>
      <c r="J389" s="3" t="s">
        <v>369</v>
      </c>
      <c r="K389" s="3" t="s">
        <v>369</v>
      </c>
      <c r="L389" s="3" t="s">
        <v>370</v>
      </c>
      <c r="M389" s="3" t="s">
        <v>914</v>
      </c>
      <c r="N389" s="3" t="s">
        <v>495</v>
      </c>
      <c r="O389" s="3" t="s">
        <v>285</v>
      </c>
      <c r="P389" s="3" t="s">
        <v>372</v>
      </c>
      <c r="Q389" s="6">
        <v>871.2</v>
      </c>
      <c r="R389" s="6">
        <v>906048</v>
      </c>
      <c r="S389" s="4">
        <v>35</v>
      </c>
      <c r="T389" s="3" t="s">
        <v>79</v>
      </c>
      <c r="U389" s="4">
        <v>208</v>
      </c>
      <c r="V389" s="3" t="s">
        <v>1183</v>
      </c>
      <c r="W389" s="3" t="s">
        <v>1184</v>
      </c>
    </row>
    <row r="390" spans="1:23" x14ac:dyDescent="0.3">
      <c r="A390" s="7" t="s">
        <v>1161</v>
      </c>
      <c r="B390" s="8" t="s">
        <v>398</v>
      </c>
      <c r="C390" s="8" t="s">
        <v>1172</v>
      </c>
      <c r="D390" s="8" t="s">
        <v>1185</v>
      </c>
      <c r="E390" s="8">
        <v>15710</v>
      </c>
      <c r="F390" s="9">
        <v>210</v>
      </c>
      <c r="G390" s="10">
        <v>5</v>
      </c>
      <c r="H390" s="10">
        <v>1050</v>
      </c>
      <c r="I390" s="8" t="s">
        <v>1366</v>
      </c>
      <c r="J390" s="8" t="s">
        <v>369</v>
      </c>
      <c r="K390" s="8" t="s">
        <v>369</v>
      </c>
      <c r="L390" s="8" t="s">
        <v>370</v>
      </c>
      <c r="M390" s="8" t="s">
        <v>914</v>
      </c>
      <c r="N390" s="8" t="s">
        <v>495</v>
      </c>
      <c r="O390" s="8" t="s">
        <v>285</v>
      </c>
      <c r="P390" s="8" t="s">
        <v>372</v>
      </c>
      <c r="Q390" s="11">
        <v>871.2</v>
      </c>
      <c r="R390" s="11">
        <v>914760</v>
      </c>
      <c r="S390" s="9">
        <v>35</v>
      </c>
      <c r="T390" s="8" t="s">
        <v>79</v>
      </c>
      <c r="U390" s="9">
        <v>210</v>
      </c>
      <c r="V390" s="8" t="s">
        <v>1186</v>
      </c>
      <c r="W390" s="8" t="s">
        <v>1187</v>
      </c>
    </row>
    <row r="391" spans="1:23" x14ac:dyDescent="0.3">
      <c r="A391" s="2" t="s">
        <v>1161</v>
      </c>
      <c r="B391" s="3" t="s">
        <v>398</v>
      </c>
      <c r="C391" s="3" t="s">
        <v>1172</v>
      </c>
      <c r="D391" s="3" t="s">
        <v>1188</v>
      </c>
      <c r="E391" s="3">
        <v>15711</v>
      </c>
      <c r="F391" s="4">
        <v>210</v>
      </c>
      <c r="G391" s="5">
        <v>5</v>
      </c>
      <c r="H391" s="5">
        <v>1050</v>
      </c>
      <c r="I391" s="3" t="s">
        <v>1366</v>
      </c>
      <c r="J391" s="3" t="s">
        <v>369</v>
      </c>
      <c r="K391" s="3" t="s">
        <v>369</v>
      </c>
      <c r="L391" s="3" t="s">
        <v>370</v>
      </c>
      <c r="M391" s="3" t="s">
        <v>914</v>
      </c>
      <c r="N391" s="3" t="s">
        <v>495</v>
      </c>
      <c r="O391" s="3" t="s">
        <v>285</v>
      </c>
      <c r="P391" s="3" t="s">
        <v>372</v>
      </c>
      <c r="Q391" s="6">
        <v>871.2</v>
      </c>
      <c r="R391" s="6">
        <v>914760</v>
      </c>
      <c r="S391" s="4">
        <v>35</v>
      </c>
      <c r="T391" s="3" t="s">
        <v>79</v>
      </c>
      <c r="U391" s="4">
        <v>210</v>
      </c>
      <c r="V391" s="3" t="s">
        <v>1189</v>
      </c>
      <c r="W391" s="3" t="s">
        <v>1190</v>
      </c>
    </row>
    <row r="392" spans="1:23" x14ac:dyDescent="0.3">
      <c r="A392" s="7" t="s">
        <v>1161</v>
      </c>
      <c r="B392" s="8" t="s">
        <v>398</v>
      </c>
      <c r="C392" s="8" t="s">
        <v>1172</v>
      </c>
      <c r="D392" s="8" t="s">
        <v>1191</v>
      </c>
      <c r="E392" s="8">
        <v>15712</v>
      </c>
      <c r="F392" s="9">
        <v>210</v>
      </c>
      <c r="G392" s="10">
        <v>5</v>
      </c>
      <c r="H392" s="10">
        <v>1050</v>
      </c>
      <c r="I392" s="8" t="s">
        <v>1366</v>
      </c>
      <c r="J392" s="8" t="s">
        <v>369</v>
      </c>
      <c r="K392" s="8" t="s">
        <v>369</v>
      </c>
      <c r="L392" s="8" t="s">
        <v>370</v>
      </c>
      <c r="M392" s="8" t="s">
        <v>914</v>
      </c>
      <c r="N392" s="8" t="s">
        <v>495</v>
      </c>
      <c r="O392" s="8" t="s">
        <v>285</v>
      </c>
      <c r="P392" s="8" t="s">
        <v>372</v>
      </c>
      <c r="Q392" s="11">
        <v>871.2</v>
      </c>
      <c r="R392" s="11">
        <v>914760</v>
      </c>
      <c r="S392" s="9">
        <v>35</v>
      </c>
      <c r="T392" s="8" t="s">
        <v>79</v>
      </c>
      <c r="U392" s="9">
        <v>210</v>
      </c>
      <c r="V392" s="8" t="s">
        <v>1192</v>
      </c>
      <c r="W392" s="8" t="s">
        <v>1193</v>
      </c>
    </row>
    <row r="393" spans="1:23" x14ac:dyDescent="0.3">
      <c r="A393" s="2" t="s">
        <v>1161</v>
      </c>
      <c r="B393" s="3" t="s">
        <v>398</v>
      </c>
      <c r="C393" s="3" t="s">
        <v>1172</v>
      </c>
      <c r="D393" s="3" t="s">
        <v>1194</v>
      </c>
      <c r="E393" s="3">
        <v>15713</v>
      </c>
      <c r="F393" s="4">
        <v>210</v>
      </c>
      <c r="G393" s="5">
        <v>5</v>
      </c>
      <c r="H393" s="5">
        <v>1050</v>
      </c>
      <c r="I393" s="3" t="s">
        <v>1366</v>
      </c>
      <c r="J393" s="3" t="s">
        <v>369</v>
      </c>
      <c r="K393" s="3" t="s">
        <v>369</v>
      </c>
      <c r="L393" s="3" t="s">
        <v>370</v>
      </c>
      <c r="M393" s="3" t="s">
        <v>914</v>
      </c>
      <c r="N393" s="3" t="s">
        <v>495</v>
      </c>
      <c r="O393" s="3" t="s">
        <v>285</v>
      </c>
      <c r="P393" s="3" t="s">
        <v>372</v>
      </c>
      <c r="Q393" s="6">
        <v>871.2</v>
      </c>
      <c r="R393" s="6">
        <v>914760</v>
      </c>
      <c r="S393" s="4">
        <v>35</v>
      </c>
      <c r="T393" s="3" t="s">
        <v>79</v>
      </c>
      <c r="U393" s="4">
        <v>210</v>
      </c>
      <c r="V393" s="3" t="s">
        <v>1195</v>
      </c>
      <c r="W393" s="3" t="s">
        <v>1196</v>
      </c>
    </row>
    <row r="394" spans="1:23" x14ac:dyDescent="0.3">
      <c r="A394" s="7" t="s">
        <v>1161</v>
      </c>
      <c r="B394" s="8" t="s">
        <v>398</v>
      </c>
      <c r="C394" s="8" t="s">
        <v>1172</v>
      </c>
      <c r="D394" s="8" t="s">
        <v>1197</v>
      </c>
      <c r="E394" s="8">
        <v>15714</v>
      </c>
      <c r="F394" s="9">
        <v>210</v>
      </c>
      <c r="G394" s="10">
        <v>5</v>
      </c>
      <c r="H394" s="10">
        <v>1050</v>
      </c>
      <c r="I394" s="8" t="s">
        <v>1366</v>
      </c>
      <c r="J394" s="8" t="s">
        <v>369</v>
      </c>
      <c r="K394" s="8" t="s">
        <v>369</v>
      </c>
      <c r="L394" s="8" t="s">
        <v>370</v>
      </c>
      <c r="M394" s="8" t="s">
        <v>914</v>
      </c>
      <c r="N394" s="8" t="s">
        <v>495</v>
      </c>
      <c r="O394" s="8" t="s">
        <v>285</v>
      </c>
      <c r="P394" s="8" t="s">
        <v>372</v>
      </c>
      <c r="Q394" s="11">
        <v>871.2</v>
      </c>
      <c r="R394" s="11">
        <v>914760</v>
      </c>
      <c r="S394" s="9">
        <v>35</v>
      </c>
      <c r="T394" s="8" t="s">
        <v>79</v>
      </c>
      <c r="U394" s="9">
        <v>210</v>
      </c>
      <c r="V394" s="8" t="s">
        <v>1198</v>
      </c>
      <c r="W394" s="8" t="s">
        <v>1199</v>
      </c>
    </row>
    <row r="395" spans="1:23" x14ac:dyDescent="0.3">
      <c r="A395" s="2" t="s">
        <v>1161</v>
      </c>
      <c r="B395" s="3" t="s">
        <v>398</v>
      </c>
      <c r="C395" s="3" t="s">
        <v>1172</v>
      </c>
      <c r="D395" s="3" t="s">
        <v>1200</v>
      </c>
      <c r="E395" s="3">
        <v>15715</v>
      </c>
      <c r="F395" s="4">
        <v>210</v>
      </c>
      <c r="G395" s="5">
        <v>5</v>
      </c>
      <c r="H395" s="5">
        <v>1050</v>
      </c>
      <c r="I395" s="3" t="s">
        <v>1366</v>
      </c>
      <c r="J395" s="3" t="s">
        <v>369</v>
      </c>
      <c r="K395" s="3" t="s">
        <v>369</v>
      </c>
      <c r="L395" s="3" t="s">
        <v>370</v>
      </c>
      <c r="M395" s="3" t="s">
        <v>914</v>
      </c>
      <c r="N395" s="3" t="s">
        <v>495</v>
      </c>
      <c r="O395" s="3" t="s">
        <v>285</v>
      </c>
      <c r="P395" s="3" t="s">
        <v>372</v>
      </c>
      <c r="Q395" s="6">
        <v>871.2</v>
      </c>
      <c r="R395" s="6">
        <v>914760</v>
      </c>
      <c r="S395" s="4">
        <v>35</v>
      </c>
      <c r="T395" s="3" t="s">
        <v>79</v>
      </c>
      <c r="U395" s="4">
        <v>210</v>
      </c>
      <c r="V395" s="3" t="s">
        <v>1201</v>
      </c>
      <c r="W395" s="3" t="s">
        <v>1202</v>
      </c>
    </row>
    <row r="396" spans="1:23" x14ac:dyDescent="0.3">
      <c r="A396" s="7" t="s">
        <v>731</v>
      </c>
      <c r="B396" s="8" t="s">
        <v>398</v>
      </c>
      <c r="C396" s="8" t="s">
        <v>1203</v>
      </c>
      <c r="D396" s="8" t="s">
        <v>1204</v>
      </c>
      <c r="E396" s="8">
        <v>16953</v>
      </c>
      <c r="F396" s="9">
        <v>310</v>
      </c>
      <c r="G396" s="10">
        <v>5</v>
      </c>
      <c r="H396" s="10">
        <v>1550</v>
      </c>
      <c r="I396" s="8" t="s">
        <v>1366</v>
      </c>
      <c r="J396" s="8" t="s">
        <v>1399</v>
      </c>
      <c r="K396" s="8" t="s">
        <v>369</v>
      </c>
      <c r="L396" s="8" t="s">
        <v>1205</v>
      </c>
      <c r="M396" s="8" t="s">
        <v>1206</v>
      </c>
      <c r="N396" s="8" t="s">
        <v>495</v>
      </c>
      <c r="O396" s="8" t="s">
        <v>285</v>
      </c>
      <c r="P396" s="8" t="s">
        <v>153</v>
      </c>
      <c r="Q396" s="11">
        <v>900</v>
      </c>
      <c r="R396" s="11">
        <v>1395000</v>
      </c>
      <c r="S396" s="9">
        <v>2</v>
      </c>
      <c r="T396" s="8" t="s">
        <v>79</v>
      </c>
      <c r="U396" s="9">
        <v>310</v>
      </c>
      <c r="V396" s="8" t="s">
        <v>1349</v>
      </c>
      <c r="W396" s="8" t="s">
        <v>1362</v>
      </c>
    </row>
    <row r="397" spans="1:23" x14ac:dyDescent="0.3">
      <c r="A397" s="12" t="s">
        <v>731</v>
      </c>
      <c r="B397" s="13" t="s">
        <v>398</v>
      </c>
      <c r="C397" s="13" t="s">
        <v>1207</v>
      </c>
      <c r="D397" s="13" t="s">
        <v>1208</v>
      </c>
      <c r="E397" s="13">
        <v>16955</v>
      </c>
      <c r="F397" s="14">
        <v>210</v>
      </c>
      <c r="G397" s="15">
        <v>5</v>
      </c>
      <c r="H397" s="15">
        <v>1050</v>
      </c>
      <c r="I397" s="13" t="s">
        <v>1366</v>
      </c>
      <c r="J397" s="13" t="s">
        <v>1398</v>
      </c>
      <c r="K397" s="13" t="s">
        <v>1209</v>
      </c>
      <c r="L397" s="13" t="s">
        <v>465</v>
      </c>
      <c r="M397" s="13" t="s">
        <v>1210</v>
      </c>
      <c r="N397" s="13" t="s">
        <v>495</v>
      </c>
      <c r="O397" s="13" t="s">
        <v>285</v>
      </c>
      <c r="P397" s="13" t="s">
        <v>372</v>
      </c>
      <c r="Q397" s="16">
        <v>1152</v>
      </c>
      <c r="R397" s="16">
        <v>1209600</v>
      </c>
      <c r="S397" s="14">
        <v>2</v>
      </c>
      <c r="T397" s="13" t="s">
        <v>79</v>
      </c>
      <c r="U397" s="14">
        <v>210</v>
      </c>
      <c r="V397" s="13" t="e">
        <f>VLOOKUP(E397,'[1]Consolidated Stock'!$E:$V,18,0)</f>
        <v>#N/A</v>
      </c>
      <c r="W397" s="13" t="s">
        <v>1365</v>
      </c>
    </row>
    <row r="398" spans="1:23" x14ac:dyDescent="0.3">
      <c r="A398" s="12" t="s">
        <v>731</v>
      </c>
      <c r="B398" s="13" t="s">
        <v>398</v>
      </c>
      <c r="C398" s="13" t="s">
        <v>1207</v>
      </c>
      <c r="D398" s="13" t="s">
        <v>1208</v>
      </c>
      <c r="E398" s="13">
        <v>16956</v>
      </c>
      <c r="F398" s="14">
        <v>210</v>
      </c>
      <c r="G398" s="15">
        <v>5</v>
      </c>
      <c r="H398" s="15">
        <v>1050</v>
      </c>
      <c r="I398" s="13" t="s">
        <v>1366</v>
      </c>
      <c r="J398" s="13" t="s">
        <v>1398</v>
      </c>
      <c r="K398" s="13" t="s">
        <v>1209</v>
      </c>
      <c r="L398" s="13" t="s">
        <v>465</v>
      </c>
      <c r="M398" s="13" t="s">
        <v>1210</v>
      </c>
      <c r="N398" s="13" t="s">
        <v>495</v>
      </c>
      <c r="O398" s="13" t="s">
        <v>285</v>
      </c>
      <c r="P398" s="13" t="s">
        <v>372</v>
      </c>
      <c r="Q398" s="16">
        <v>1152</v>
      </c>
      <c r="R398" s="16">
        <v>1209600</v>
      </c>
      <c r="S398" s="14">
        <v>2</v>
      </c>
      <c r="T398" s="13" t="s">
        <v>79</v>
      </c>
      <c r="U398" s="14">
        <v>210</v>
      </c>
      <c r="V398" s="13" t="e">
        <f>VLOOKUP(E398,'[1]Consolidated Stock'!$E:$V,18,0)</f>
        <v>#N/A</v>
      </c>
      <c r="W398" s="13" t="s">
        <v>1364</v>
      </c>
    </row>
    <row r="399" spans="1:23" x14ac:dyDescent="0.3">
      <c r="A399" s="12" t="s">
        <v>731</v>
      </c>
      <c r="B399" s="13" t="s">
        <v>398</v>
      </c>
      <c r="C399" s="13" t="s">
        <v>1207</v>
      </c>
      <c r="D399" s="13" t="s">
        <v>1211</v>
      </c>
      <c r="E399" s="13">
        <v>16957</v>
      </c>
      <c r="F399" s="14">
        <v>200</v>
      </c>
      <c r="G399" s="15">
        <v>5</v>
      </c>
      <c r="H399" s="15">
        <v>1000</v>
      </c>
      <c r="I399" s="13" t="s">
        <v>1366</v>
      </c>
      <c r="J399" s="13" t="s">
        <v>1212</v>
      </c>
      <c r="K399" s="13" t="s">
        <v>1212</v>
      </c>
      <c r="L399" s="13" t="s">
        <v>1212</v>
      </c>
      <c r="M399" s="13" t="s">
        <v>1213</v>
      </c>
      <c r="N399" s="13" t="s">
        <v>495</v>
      </c>
      <c r="O399" s="13" t="s">
        <v>285</v>
      </c>
      <c r="P399" s="13" t="s">
        <v>372</v>
      </c>
      <c r="Q399" s="16">
        <v>315</v>
      </c>
      <c r="R399" s="16">
        <v>315000</v>
      </c>
      <c r="S399" s="14">
        <v>2</v>
      </c>
      <c r="T399" s="13" t="s">
        <v>79</v>
      </c>
      <c r="U399" s="14">
        <v>200</v>
      </c>
      <c r="V399" s="13" t="e">
        <f>VLOOKUP(E399,'[1]Consolidated Stock'!$E:$V,18,0)</f>
        <v>#N/A</v>
      </c>
      <c r="W399" s="13" t="s">
        <v>1363</v>
      </c>
    </row>
    <row r="400" spans="1:23" x14ac:dyDescent="0.3">
      <c r="A400" s="7" t="s">
        <v>1214</v>
      </c>
      <c r="B400" s="8" t="s">
        <v>398</v>
      </c>
      <c r="C400" s="8" t="s">
        <v>1215</v>
      </c>
      <c r="D400" s="8" t="s">
        <v>435</v>
      </c>
      <c r="E400" s="8">
        <v>76576</v>
      </c>
      <c r="F400" s="9">
        <v>33</v>
      </c>
      <c r="G400" s="10">
        <v>12.5</v>
      </c>
      <c r="H400" s="10">
        <v>412.5</v>
      </c>
      <c r="I400" s="8" t="s">
        <v>1366</v>
      </c>
      <c r="J400" s="8" t="s">
        <v>1375</v>
      </c>
      <c r="K400" s="8" t="s">
        <v>1054</v>
      </c>
      <c r="L400" s="8" t="s">
        <v>370</v>
      </c>
      <c r="M400" s="8" t="s">
        <v>1055</v>
      </c>
      <c r="N400" s="8" t="s">
        <v>495</v>
      </c>
      <c r="O400" s="8" t="s">
        <v>285</v>
      </c>
      <c r="P400" s="8" t="s">
        <v>50</v>
      </c>
      <c r="Q400" s="11">
        <v>462</v>
      </c>
      <c r="R400" s="11">
        <v>190575</v>
      </c>
      <c r="S400" s="9">
        <v>563</v>
      </c>
      <c r="T400" s="8" t="s">
        <v>356</v>
      </c>
      <c r="U400" s="9">
        <v>33</v>
      </c>
      <c r="V400" s="8" t="s">
        <v>1216</v>
      </c>
      <c r="W400" s="8" t="s">
        <v>1217</v>
      </c>
    </row>
    <row r="401" spans="1:23" x14ac:dyDescent="0.3">
      <c r="A401" s="2" t="s">
        <v>1214</v>
      </c>
      <c r="B401" s="3" t="s">
        <v>398</v>
      </c>
      <c r="C401" s="3" t="s">
        <v>1218</v>
      </c>
      <c r="D401" s="3" t="s">
        <v>1219</v>
      </c>
      <c r="E401" s="3">
        <v>76577</v>
      </c>
      <c r="F401" s="4">
        <v>49</v>
      </c>
      <c r="G401" s="5">
        <v>12.5</v>
      </c>
      <c r="H401" s="5">
        <v>612.5</v>
      </c>
      <c r="I401" s="3" t="s">
        <v>1366</v>
      </c>
      <c r="J401" s="3" t="s">
        <v>1375</v>
      </c>
      <c r="K401" s="3" t="s">
        <v>1122</v>
      </c>
      <c r="L401" s="3" t="s">
        <v>1015</v>
      </c>
      <c r="M401" s="3" t="s">
        <v>1123</v>
      </c>
      <c r="N401" s="3" t="s">
        <v>495</v>
      </c>
      <c r="O401" s="3" t="s">
        <v>285</v>
      </c>
      <c r="P401" s="3" t="s">
        <v>50</v>
      </c>
      <c r="Q401" s="6">
        <v>403</v>
      </c>
      <c r="R401" s="6">
        <v>246837.5</v>
      </c>
      <c r="S401" s="4">
        <v>563</v>
      </c>
      <c r="T401" s="3" t="s">
        <v>356</v>
      </c>
      <c r="U401" s="4">
        <v>49</v>
      </c>
      <c r="V401" s="3" t="s">
        <v>1220</v>
      </c>
      <c r="W401" s="3" t="s">
        <v>353</v>
      </c>
    </row>
    <row r="402" spans="1:23" x14ac:dyDescent="0.3">
      <c r="A402" s="7" t="s">
        <v>1221</v>
      </c>
      <c r="B402" s="8" t="s">
        <v>398</v>
      </c>
      <c r="C402" s="8" t="s">
        <v>1222</v>
      </c>
      <c r="D402" s="8" t="s">
        <v>1219</v>
      </c>
      <c r="E402" s="8">
        <v>76577</v>
      </c>
      <c r="F402" s="9">
        <v>30</v>
      </c>
      <c r="G402" s="10">
        <v>12.5</v>
      </c>
      <c r="H402" s="10">
        <v>375</v>
      </c>
      <c r="I402" s="8" t="s">
        <v>1366</v>
      </c>
      <c r="J402" s="8" t="s">
        <v>1375</v>
      </c>
      <c r="K402" s="8" t="s">
        <v>1122</v>
      </c>
      <c r="L402" s="8" t="s">
        <v>1015</v>
      </c>
      <c r="M402" s="8" t="s">
        <v>1123</v>
      </c>
      <c r="N402" s="8" t="s">
        <v>495</v>
      </c>
      <c r="O402" s="8" t="s">
        <v>285</v>
      </c>
      <c r="P402" s="8" t="s">
        <v>50</v>
      </c>
      <c r="Q402" s="11">
        <v>403</v>
      </c>
      <c r="R402" s="11">
        <v>151125</v>
      </c>
      <c r="S402" s="9">
        <v>557</v>
      </c>
      <c r="T402" s="8" t="s">
        <v>356</v>
      </c>
      <c r="U402" s="9">
        <v>30</v>
      </c>
      <c r="V402" s="8" t="s">
        <v>1223</v>
      </c>
      <c r="W402" s="8" t="s">
        <v>1224</v>
      </c>
    </row>
    <row r="403" spans="1:23" x14ac:dyDescent="0.3">
      <c r="A403" s="2" t="s">
        <v>1214</v>
      </c>
      <c r="B403" s="3" t="s">
        <v>398</v>
      </c>
      <c r="C403" s="3" t="s">
        <v>1215</v>
      </c>
      <c r="D403" s="3" t="s">
        <v>435</v>
      </c>
      <c r="E403" s="3">
        <v>76581</v>
      </c>
      <c r="F403" s="4">
        <v>6</v>
      </c>
      <c r="G403" s="5">
        <v>5</v>
      </c>
      <c r="H403" s="5">
        <v>30</v>
      </c>
      <c r="I403" s="3" t="s">
        <v>1366</v>
      </c>
      <c r="J403" s="3" t="s">
        <v>369</v>
      </c>
      <c r="K403" s="3" t="s">
        <v>810</v>
      </c>
      <c r="L403" s="3" t="s">
        <v>370</v>
      </c>
      <c r="M403" s="3" t="s">
        <v>811</v>
      </c>
      <c r="N403" s="3" t="s">
        <v>495</v>
      </c>
      <c r="O403" s="3" t="s">
        <v>285</v>
      </c>
      <c r="P403" s="3" t="s">
        <v>50</v>
      </c>
      <c r="Q403" s="6">
        <v>730</v>
      </c>
      <c r="R403" s="6">
        <v>21900</v>
      </c>
      <c r="S403" s="4">
        <v>563</v>
      </c>
      <c r="T403" s="3" t="s">
        <v>356</v>
      </c>
      <c r="U403" s="4">
        <v>6</v>
      </c>
      <c r="V403" s="3" t="s">
        <v>1225</v>
      </c>
      <c r="W403" s="3" t="s">
        <v>1226</v>
      </c>
    </row>
    <row r="404" spans="1:23" x14ac:dyDescent="0.3">
      <c r="A404" s="7" t="s">
        <v>1227</v>
      </c>
      <c r="B404" s="8" t="s">
        <v>398</v>
      </c>
      <c r="C404" s="8" t="s">
        <v>1228</v>
      </c>
      <c r="D404" s="8" t="s">
        <v>1229</v>
      </c>
      <c r="E404" s="8">
        <v>76583</v>
      </c>
      <c r="F404" s="9">
        <v>1</v>
      </c>
      <c r="G404" s="10">
        <v>12.5</v>
      </c>
      <c r="H404" s="10">
        <v>12.5</v>
      </c>
      <c r="I404" s="8" t="s">
        <v>1366</v>
      </c>
      <c r="J404" s="8" t="s">
        <v>1370</v>
      </c>
      <c r="K404" s="8" t="s">
        <v>483</v>
      </c>
      <c r="L404" s="8" t="s">
        <v>370</v>
      </c>
      <c r="M404" s="8" t="s">
        <v>484</v>
      </c>
      <c r="N404" s="8" t="s">
        <v>495</v>
      </c>
      <c r="O404" s="8" t="s">
        <v>285</v>
      </c>
      <c r="P404" s="8" t="s">
        <v>50</v>
      </c>
      <c r="Q404" s="11">
        <v>641</v>
      </c>
      <c r="R404" s="11">
        <v>8012.5</v>
      </c>
      <c r="S404" s="9">
        <v>540</v>
      </c>
      <c r="T404" s="8" t="s">
        <v>356</v>
      </c>
      <c r="U404" s="9">
        <v>1</v>
      </c>
      <c r="V404" s="8" t="s">
        <v>1230</v>
      </c>
      <c r="W404" s="8" t="s">
        <v>1231</v>
      </c>
    </row>
    <row r="405" spans="1:23" x14ac:dyDescent="0.3">
      <c r="A405" s="2" t="s">
        <v>1232</v>
      </c>
      <c r="B405" s="3" t="s">
        <v>398</v>
      </c>
      <c r="C405" s="3" t="s">
        <v>1233</v>
      </c>
      <c r="D405" s="3" t="s">
        <v>284</v>
      </c>
      <c r="E405" s="3">
        <v>77154</v>
      </c>
      <c r="F405" s="4">
        <v>1</v>
      </c>
      <c r="G405" s="5">
        <v>12.5</v>
      </c>
      <c r="H405" s="5">
        <v>12.5</v>
      </c>
      <c r="I405" s="3" t="s">
        <v>1366</v>
      </c>
      <c r="J405" s="3" t="s">
        <v>1375</v>
      </c>
      <c r="K405" s="3" t="s">
        <v>1122</v>
      </c>
      <c r="L405" s="3" t="s">
        <v>1015</v>
      </c>
      <c r="M405" s="3" t="s">
        <v>1123</v>
      </c>
      <c r="N405" s="3" t="s">
        <v>495</v>
      </c>
      <c r="O405" s="3" t="s">
        <v>285</v>
      </c>
      <c r="P405" s="3" t="s">
        <v>50</v>
      </c>
      <c r="Q405" s="6">
        <v>403</v>
      </c>
      <c r="R405" s="6">
        <v>5037.5</v>
      </c>
      <c r="S405" s="4">
        <v>544</v>
      </c>
      <c r="T405" s="3" t="s">
        <v>356</v>
      </c>
      <c r="U405" s="4">
        <v>1</v>
      </c>
      <c r="V405" s="3" t="e">
        <f>VLOOKUP(E405,'[1]Consolidated Stock'!$E:$V,18,0)</f>
        <v>#N/A</v>
      </c>
      <c r="W405" s="3" t="s">
        <v>1234</v>
      </c>
    </row>
    <row r="406" spans="1:23" x14ac:dyDescent="0.3">
      <c r="A406" s="7" t="s">
        <v>1232</v>
      </c>
      <c r="B406" s="8" t="s">
        <v>398</v>
      </c>
      <c r="C406" s="8" t="s">
        <v>1233</v>
      </c>
      <c r="D406" s="8" t="s">
        <v>284</v>
      </c>
      <c r="E406" s="8">
        <v>77155</v>
      </c>
      <c r="F406" s="9">
        <v>2</v>
      </c>
      <c r="G406" s="10">
        <v>12.5</v>
      </c>
      <c r="H406" s="10">
        <v>25</v>
      </c>
      <c r="I406" s="8" t="s">
        <v>1366</v>
      </c>
      <c r="J406" s="8" t="s">
        <v>1375</v>
      </c>
      <c r="K406" s="8" t="s">
        <v>1054</v>
      </c>
      <c r="L406" s="8" t="s">
        <v>370</v>
      </c>
      <c r="M406" s="8" t="s">
        <v>1055</v>
      </c>
      <c r="N406" s="8" t="s">
        <v>495</v>
      </c>
      <c r="O406" s="8" t="s">
        <v>285</v>
      </c>
      <c r="P406" s="8" t="s">
        <v>50</v>
      </c>
      <c r="Q406" s="11">
        <v>462</v>
      </c>
      <c r="R406" s="11">
        <v>11550</v>
      </c>
      <c r="S406" s="9">
        <v>544</v>
      </c>
      <c r="T406" s="8" t="s">
        <v>356</v>
      </c>
      <c r="U406" s="9">
        <v>2</v>
      </c>
      <c r="V406" s="8" t="e">
        <f>VLOOKUP(E406,'[1]Consolidated Stock'!$E:$V,18,0)</f>
        <v>#N/A</v>
      </c>
      <c r="W406" s="8" t="s">
        <v>1235</v>
      </c>
    </row>
    <row r="407" spans="1:23" x14ac:dyDescent="0.3">
      <c r="A407" s="2" t="s">
        <v>469</v>
      </c>
      <c r="B407" s="3" t="s">
        <v>398</v>
      </c>
      <c r="C407" s="3" t="s">
        <v>1236</v>
      </c>
      <c r="D407" s="3" t="s">
        <v>1237</v>
      </c>
      <c r="E407" s="3">
        <v>81383</v>
      </c>
      <c r="F407" s="4">
        <v>6</v>
      </c>
      <c r="G407" s="5">
        <v>12.5</v>
      </c>
      <c r="H407" s="5">
        <v>75</v>
      </c>
      <c r="I407" s="3" t="s">
        <v>1366</v>
      </c>
      <c r="J407" s="3" t="s">
        <v>1375</v>
      </c>
      <c r="K407" s="3" t="s">
        <v>1054</v>
      </c>
      <c r="L407" s="3" t="s">
        <v>370</v>
      </c>
      <c r="M407" s="3" t="s">
        <v>1055</v>
      </c>
      <c r="N407" s="3" t="s">
        <v>495</v>
      </c>
      <c r="O407" s="3" t="s">
        <v>285</v>
      </c>
      <c r="P407" s="3" t="s">
        <v>50</v>
      </c>
      <c r="Q407" s="6">
        <v>462</v>
      </c>
      <c r="R407" s="6">
        <v>34650</v>
      </c>
      <c r="S407" s="4">
        <v>432</v>
      </c>
      <c r="T407" s="3" t="s">
        <v>36</v>
      </c>
      <c r="U407" s="4">
        <v>6</v>
      </c>
      <c r="V407" s="3" t="s">
        <v>1238</v>
      </c>
      <c r="W407" s="3" t="s">
        <v>365</v>
      </c>
    </row>
    <row r="408" spans="1:23" x14ac:dyDescent="0.3">
      <c r="A408" s="7" t="s">
        <v>1239</v>
      </c>
      <c r="B408" s="8" t="s">
        <v>398</v>
      </c>
      <c r="C408" s="8" t="s">
        <v>1240</v>
      </c>
      <c r="D408" s="8" t="s">
        <v>1241</v>
      </c>
      <c r="E408" s="8">
        <v>13296</v>
      </c>
      <c r="F408" s="9">
        <v>210</v>
      </c>
      <c r="G408" s="10">
        <v>5</v>
      </c>
      <c r="H408" s="10">
        <v>1050</v>
      </c>
      <c r="I408" s="8" t="s">
        <v>1366</v>
      </c>
      <c r="J408" s="8" t="s">
        <v>451</v>
      </c>
      <c r="K408" s="8" t="s">
        <v>451</v>
      </c>
      <c r="L408" s="8" t="s">
        <v>431</v>
      </c>
      <c r="M408" s="8" t="s">
        <v>908</v>
      </c>
      <c r="N408" s="8" t="s">
        <v>495</v>
      </c>
      <c r="O408" s="8" t="s">
        <v>1242</v>
      </c>
      <c r="P408" s="8" t="s">
        <v>372</v>
      </c>
      <c r="Q408" s="11">
        <v>1057</v>
      </c>
      <c r="R408" s="11">
        <v>1109850</v>
      </c>
      <c r="S408" s="9">
        <v>103</v>
      </c>
      <c r="T408" s="8" t="s">
        <v>79</v>
      </c>
      <c r="U408" s="9">
        <v>210</v>
      </c>
      <c r="V408" s="8" t="s">
        <v>1243</v>
      </c>
      <c r="W408" s="8" t="s">
        <v>1244</v>
      </c>
    </row>
    <row r="409" spans="1:23" x14ac:dyDescent="0.3">
      <c r="A409" s="2" t="s">
        <v>1239</v>
      </c>
      <c r="B409" s="3" t="s">
        <v>398</v>
      </c>
      <c r="C409" s="3" t="s">
        <v>1240</v>
      </c>
      <c r="D409" s="3" t="s">
        <v>1241</v>
      </c>
      <c r="E409" s="3">
        <v>13297</v>
      </c>
      <c r="F409" s="4">
        <v>210</v>
      </c>
      <c r="G409" s="5">
        <v>5</v>
      </c>
      <c r="H409" s="5">
        <v>1050</v>
      </c>
      <c r="I409" s="3" t="s">
        <v>1366</v>
      </c>
      <c r="J409" s="3" t="s">
        <v>451</v>
      </c>
      <c r="K409" s="3" t="s">
        <v>451</v>
      </c>
      <c r="L409" s="3" t="s">
        <v>431</v>
      </c>
      <c r="M409" s="3" t="s">
        <v>908</v>
      </c>
      <c r="N409" s="3" t="s">
        <v>495</v>
      </c>
      <c r="O409" s="3" t="s">
        <v>1242</v>
      </c>
      <c r="P409" s="3" t="s">
        <v>372</v>
      </c>
      <c r="Q409" s="6">
        <v>1057</v>
      </c>
      <c r="R409" s="6">
        <v>1109850</v>
      </c>
      <c r="S409" s="4">
        <v>103</v>
      </c>
      <c r="T409" s="3" t="s">
        <v>79</v>
      </c>
      <c r="U409" s="4">
        <v>210</v>
      </c>
      <c r="V409" s="3" t="s">
        <v>1245</v>
      </c>
      <c r="W409" s="3" t="s">
        <v>1246</v>
      </c>
    </row>
    <row r="410" spans="1:23" x14ac:dyDescent="0.3">
      <c r="A410" s="7" t="s">
        <v>1239</v>
      </c>
      <c r="B410" s="8" t="s">
        <v>398</v>
      </c>
      <c r="C410" s="8" t="s">
        <v>1240</v>
      </c>
      <c r="D410" s="8" t="s">
        <v>1241</v>
      </c>
      <c r="E410" s="8">
        <v>13298</v>
      </c>
      <c r="F410" s="9">
        <v>210</v>
      </c>
      <c r="G410" s="10">
        <v>5</v>
      </c>
      <c r="H410" s="10">
        <v>1050</v>
      </c>
      <c r="I410" s="8" t="s">
        <v>1366</v>
      </c>
      <c r="J410" s="8" t="s">
        <v>451</v>
      </c>
      <c r="K410" s="8" t="s">
        <v>451</v>
      </c>
      <c r="L410" s="8" t="s">
        <v>431</v>
      </c>
      <c r="M410" s="8" t="s">
        <v>908</v>
      </c>
      <c r="N410" s="8" t="s">
        <v>495</v>
      </c>
      <c r="O410" s="8" t="s">
        <v>1242</v>
      </c>
      <c r="P410" s="8" t="s">
        <v>372</v>
      </c>
      <c r="Q410" s="11">
        <v>1057</v>
      </c>
      <c r="R410" s="11">
        <v>1109850</v>
      </c>
      <c r="S410" s="9">
        <v>103</v>
      </c>
      <c r="T410" s="8" t="s">
        <v>79</v>
      </c>
      <c r="U410" s="9">
        <v>210</v>
      </c>
      <c r="V410" s="8" t="s">
        <v>1247</v>
      </c>
      <c r="W410" s="8" t="s">
        <v>1248</v>
      </c>
    </row>
    <row r="411" spans="1:23" x14ac:dyDescent="0.3">
      <c r="A411" s="2" t="s">
        <v>1239</v>
      </c>
      <c r="B411" s="3" t="s">
        <v>398</v>
      </c>
      <c r="C411" s="3" t="s">
        <v>1240</v>
      </c>
      <c r="D411" s="3" t="s">
        <v>1249</v>
      </c>
      <c r="E411" s="3">
        <v>13301</v>
      </c>
      <c r="F411" s="4">
        <v>210</v>
      </c>
      <c r="G411" s="5">
        <v>5</v>
      </c>
      <c r="H411" s="5">
        <v>1050</v>
      </c>
      <c r="I411" s="3" t="s">
        <v>1366</v>
      </c>
      <c r="J411" s="3" t="s">
        <v>369</v>
      </c>
      <c r="K411" s="3" t="s">
        <v>369</v>
      </c>
      <c r="L411" s="3" t="s">
        <v>370</v>
      </c>
      <c r="M411" s="3" t="s">
        <v>914</v>
      </c>
      <c r="N411" s="3" t="s">
        <v>495</v>
      </c>
      <c r="O411" s="3" t="s">
        <v>1242</v>
      </c>
      <c r="P411" s="3" t="s">
        <v>372</v>
      </c>
      <c r="Q411" s="6">
        <v>871.2</v>
      </c>
      <c r="R411" s="6">
        <v>914760</v>
      </c>
      <c r="S411" s="4">
        <v>103</v>
      </c>
      <c r="T411" s="3" t="s">
        <v>79</v>
      </c>
      <c r="U411" s="4">
        <v>210</v>
      </c>
      <c r="V411" s="3" t="s">
        <v>1250</v>
      </c>
      <c r="W411" s="3" t="s">
        <v>1251</v>
      </c>
    </row>
    <row r="412" spans="1:23" x14ac:dyDescent="0.3">
      <c r="A412" s="7" t="s">
        <v>1239</v>
      </c>
      <c r="B412" s="8" t="s">
        <v>398</v>
      </c>
      <c r="C412" s="8" t="s">
        <v>1240</v>
      </c>
      <c r="D412" s="8" t="s">
        <v>1249</v>
      </c>
      <c r="E412" s="8">
        <v>13302</v>
      </c>
      <c r="F412" s="9">
        <v>210</v>
      </c>
      <c r="G412" s="10">
        <v>5</v>
      </c>
      <c r="H412" s="10">
        <v>1050</v>
      </c>
      <c r="I412" s="8" t="s">
        <v>1366</v>
      </c>
      <c r="J412" s="8" t="s">
        <v>369</v>
      </c>
      <c r="K412" s="8" t="s">
        <v>369</v>
      </c>
      <c r="L412" s="8" t="s">
        <v>370</v>
      </c>
      <c r="M412" s="8" t="s">
        <v>914</v>
      </c>
      <c r="N412" s="8" t="s">
        <v>495</v>
      </c>
      <c r="O412" s="8" t="s">
        <v>1242</v>
      </c>
      <c r="P412" s="8" t="s">
        <v>372</v>
      </c>
      <c r="Q412" s="11">
        <v>871.2</v>
      </c>
      <c r="R412" s="11">
        <v>914760</v>
      </c>
      <c r="S412" s="9">
        <v>103</v>
      </c>
      <c r="T412" s="8" t="s">
        <v>79</v>
      </c>
      <c r="U412" s="9">
        <v>210</v>
      </c>
      <c r="V412" s="8" t="s">
        <v>1252</v>
      </c>
      <c r="W412" s="8" t="s">
        <v>1253</v>
      </c>
    </row>
    <row r="413" spans="1:23" x14ac:dyDescent="0.3">
      <c r="A413" s="2" t="s">
        <v>1239</v>
      </c>
      <c r="B413" s="3" t="s">
        <v>398</v>
      </c>
      <c r="C413" s="3" t="s">
        <v>1240</v>
      </c>
      <c r="D413" s="3" t="s">
        <v>1249</v>
      </c>
      <c r="E413" s="3">
        <v>13303</v>
      </c>
      <c r="F413" s="4">
        <v>210</v>
      </c>
      <c r="G413" s="5">
        <v>5</v>
      </c>
      <c r="H413" s="5">
        <v>1050</v>
      </c>
      <c r="I413" s="3" t="s">
        <v>1366</v>
      </c>
      <c r="J413" s="3" t="s">
        <v>369</v>
      </c>
      <c r="K413" s="3" t="s">
        <v>369</v>
      </c>
      <c r="L413" s="3" t="s">
        <v>370</v>
      </c>
      <c r="M413" s="3" t="s">
        <v>914</v>
      </c>
      <c r="N413" s="3" t="s">
        <v>495</v>
      </c>
      <c r="O413" s="3" t="s">
        <v>1242</v>
      </c>
      <c r="P413" s="3" t="s">
        <v>372</v>
      </c>
      <c r="Q413" s="6">
        <v>871.2</v>
      </c>
      <c r="R413" s="6">
        <v>914760</v>
      </c>
      <c r="S413" s="4">
        <v>103</v>
      </c>
      <c r="T413" s="3" t="s">
        <v>79</v>
      </c>
      <c r="U413" s="4">
        <v>210</v>
      </c>
      <c r="V413" s="3" t="s">
        <v>1254</v>
      </c>
      <c r="W413" s="3" t="s">
        <v>1255</v>
      </c>
    </row>
    <row r="414" spans="1:23" x14ac:dyDescent="0.3">
      <c r="A414" s="7" t="s">
        <v>1239</v>
      </c>
      <c r="B414" s="8" t="s">
        <v>398</v>
      </c>
      <c r="C414" s="8" t="s">
        <v>1240</v>
      </c>
      <c r="D414" s="8" t="s">
        <v>1249</v>
      </c>
      <c r="E414" s="8">
        <v>13304</v>
      </c>
      <c r="F414" s="9">
        <v>210</v>
      </c>
      <c r="G414" s="10">
        <v>5</v>
      </c>
      <c r="H414" s="10">
        <v>1050</v>
      </c>
      <c r="I414" s="8" t="s">
        <v>1366</v>
      </c>
      <c r="J414" s="8" t="s">
        <v>369</v>
      </c>
      <c r="K414" s="8" t="s">
        <v>369</v>
      </c>
      <c r="L414" s="8" t="s">
        <v>370</v>
      </c>
      <c r="M414" s="8" t="s">
        <v>914</v>
      </c>
      <c r="N414" s="8" t="s">
        <v>495</v>
      </c>
      <c r="O414" s="8" t="s">
        <v>1242</v>
      </c>
      <c r="P414" s="8" t="s">
        <v>372</v>
      </c>
      <c r="Q414" s="11">
        <v>871.2</v>
      </c>
      <c r="R414" s="11">
        <v>914760</v>
      </c>
      <c r="S414" s="9">
        <v>103</v>
      </c>
      <c r="T414" s="8" t="s">
        <v>79</v>
      </c>
      <c r="U414" s="9">
        <v>210</v>
      </c>
      <c r="V414" s="8" t="s">
        <v>1256</v>
      </c>
      <c r="W414" s="8" t="s">
        <v>1257</v>
      </c>
    </row>
    <row r="415" spans="1:23" x14ac:dyDescent="0.3">
      <c r="A415" s="2" t="s">
        <v>1239</v>
      </c>
      <c r="B415" s="3" t="s">
        <v>398</v>
      </c>
      <c r="C415" s="3" t="s">
        <v>1240</v>
      </c>
      <c r="D415" s="3" t="s">
        <v>1249</v>
      </c>
      <c r="E415" s="3">
        <v>13305</v>
      </c>
      <c r="F415" s="4">
        <v>210</v>
      </c>
      <c r="G415" s="5">
        <v>5</v>
      </c>
      <c r="H415" s="5">
        <v>1050</v>
      </c>
      <c r="I415" s="3" t="s">
        <v>1366</v>
      </c>
      <c r="J415" s="3" t="s">
        <v>369</v>
      </c>
      <c r="K415" s="3" t="s">
        <v>369</v>
      </c>
      <c r="L415" s="3" t="s">
        <v>370</v>
      </c>
      <c r="M415" s="3" t="s">
        <v>914</v>
      </c>
      <c r="N415" s="3" t="s">
        <v>495</v>
      </c>
      <c r="O415" s="3" t="s">
        <v>1242</v>
      </c>
      <c r="P415" s="3" t="s">
        <v>372</v>
      </c>
      <c r="Q415" s="6">
        <v>871.2</v>
      </c>
      <c r="R415" s="6">
        <v>914760</v>
      </c>
      <c r="S415" s="4">
        <v>103</v>
      </c>
      <c r="T415" s="3" t="s">
        <v>79</v>
      </c>
      <c r="U415" s="4">
        <v>210</v>
      </c>
      <c r="V415" s="3" t="s">
        <v>1258</v>
      </c>
      <c r="W415" s="3" t="s">
        <v>1259</v>
      </c>
    </row>
    <row r="416" spans="1:23" x14ac:dyDescent="0.3">
      <c r="A416" s="7" t="s">
        <v>1239</v>
      </c>
      <c r="B416" s="8" t="s">
        <v>398</v>
      </c>
      <c r="C416" s="8" t="s">
        <v>1240</v>
      </c>
      <c r="D416" s="8" t="s">
        <v>1249</v>
      </c>
      <c r="E416" s="8">
        <v>13306</v>
      </c>
      <c r="F416" s="9">
        <v>210</v>
      </c>
      <c r="G416" s="10">
        <v>5</v>
      </c>
      <c r="H416" s="10">
        <v>1050</v>
      </c>
      <c r="I416" s="8" t="s">
        <v>1366</v>
      </c>
      <c r="J416" s="8" t="s">
        <v>369</v>
      </c>
      <c r="K416" s="8" t="s">
        <v>369</v>
      </c>
      <c r="L416" s="8" t="s">
        <v>370</v>
      </c>
      <c r="M416" s="8" t="s">
        <v>914</v>
      </c>
      <c r="N416" s="8" t="s">
        <v>495</v>
      </c>
      <c r="O416" s="8" t="s">
        <v>1242</v>
      </c>
      <c r="P416" s="8" t="s">
        <v>372</v>
      </c>
      <c r="Q416" s="11">
        <v>871.2</v>
      </c>
      <c r="R416" s="11">
        <v>914760</v>
      </c>
      <c r="S416" s="9">
        <v>103</v>
      </c>
      <c r="T416" s="8" t="s">
        <v>79</v>
      </c>
      <c r="U416" s="9">
        <v>210</v>
      </c>
      <c r="V416" s="8" t="s">
        <v>1260</v>
      </c>
      <c r="W416" s="8" t="s">
        <v>1261</v>
      </c>
    </row>
    <row r="417" spans="1:23" x14ac:dyDescent="0.3">
      <c r="A417" s="2" t="s">
        <v>1239</v>
      </c>
      <c r="B417" s="3" t="s">
        <v>398</v>
      </c>
      <c r="C417" s="3" t="s">
        <v>1240</v>
      </c>
      <c r="D417" s="3" t="s">
        <v>1249</v>
      </c>
      <c r="E417" s="3">
        <v>13307</v>
      </c>
      <c r="F417" s="4">
        <v>210</v>
      </c>
      <c r="G417" s="5">
        <v>5</v>
      </c>
      <c r="H417" s="5">
        <v>1050</v>
      </c>
      <c r="I417" s="3" t="s">
        <v>1366</v>
      </c>
      <c r="J417" s="3" t="s">
        <v>369</v>
      </c>
      <c r="K417" s="3" t="s">
        <v>369</v>
      </c>
      <c r="L417" s="3" t="s">
        <v>370</v>
      </c>
      <c r="M417" s="3" t="s">
        <v>914</v>
      </c>
      <c r="N417" s="3" t="s">
        <v>495</v>
      </c>
      <c r="O417" s="3" t="s">
        <v>1242</v>
      </c>
      <c r="P417" s="3" t="s">
        <v>372</v>
      </c>
      <c r="Q417" s="6">
        <v>871.2</v>
      </c>
      <c r="R417" s="6">
        <v>914760</v>
      </c>
      <c r="S417" s="4">
        <v>103</v>
      </c>
      <c r="T417" s="3" t="s">
        <v>79</v>
      </c>
      <c r="U417" s="4">
        <v>210</v>
      </c>
      <c r="V417" s="3" t="s">
        <v>1262</v>
      </c>
      <c r="W417" s="3" t="s">
        <v>1263</v>
      </c>
    </row>
    <row r="418" spans="1:23" x14ac:dyDescent="0.3">
      <c r="A418" s="7" t="s">
        <v>1239</v>
      </c>
      <c r="B418" s="8" t="s">
        <v>398</v>
      </c>
      <c r="C418" s="8" t="s">
        <v>1240</v>
      </c>
      <c r="D418" s="8" t="s">
        <v>1249</v>
      </c>
      <c r="E418" s="8">
        <v>13308</v>
      </c>
      <c r="F418" s="9">
        <v>210</v>
      </c>
      <c r="G418" s="10">
        <v>5</v>
      </c>
      <c r="H418" s="10">
        <v>1050</v>
      </c>
      <c r="I418" s="8" t="s">
        <v>1366</v>
      </c>
      <c r="J418" s="8" t="s">
        <v>369</v>
      </c>
      <c r="K418" s="8" t="s">
        <v>369</v>
      </c>
      <c r="L418" s="8" t="s">
        <v>370</v>
      </c>
      <c r="M418" s="8" t="s">
        <v>914</v>
      </c>
      <c r="N418" s="8" t="s">
        <v>495</v>
      </c>
      <c r="O418" s="8" t="s">
        <v>1242</v>
      </c>
      <c r="P418" s="8" t="s">
        <v>372</v>
      </c>
      <c r="Q418" s="11">
        <v>871.2</v>
      </c>
      <c r="R418" s="11">
        <v>914760</v>
      </c>
      <c r="S418" s="9">
        <v>103</v>
      </c>
      <c r="T418" s="8" t="s">
        <v>79</v>
      </c>
      <c r="U418" s="9">
        <v>210</v>
      </c>
      <c r="V418" s="8" t="s">
        <v>1264</v>
      </c>
      <c r="W418" s="8" t="s">
        <v>1265</v>
      </c>
    </row>
    <row r="419" spans="1:23" x14ac:dyDescent="0.3">
      <c r="A419" s="2" t="s">
        <v>1239</v>
      </c>
      <c r="B419" s="3" t="s">
        <v>398</v>
      </c>
      <c r="C419" s="3" t="s">
        <v>1240</v>
      </c>
      <c r="D419" s="3" t="s">
        <v>1249</v>
      </c>
      <c r="E419" s="3">
        <v>13309</v>
      </c>
      <c r="F419" s="4">
        <v>210</v>
      </c>
      <c r="G419" s="5">
        <v>5</v>
      </c>
      <c r="H419" s="5">
        <v>1050</v>
      </c>
      <c r="I419" s="3" t="s">
        <v>1366</v>
      </c>
      <c r="J419" s="3" t="s">
        <v>369</v>
      </c>
      <c r="K419" s="3" t="s">
        <v>369</v>
      </c>
      <c r="L419" s="3" t="s">
        <v>370</v>
      </c>
      <c r="M419" s="3" t="s">
        <v>914</v>
      </c>
      <c r="N419" s="3" t="s">
        <v>495</v>
      </c>
      <c r="O419" s="3" t="s">
        <v>1242</v>
      </c>
      <c r="P419" s="3" t="s">
        <v>372</v>
      </c>
      <c r="Q419" s="6">
        <v>871.2</v>
      </c>
      <c r="R419" s="6">
        <v>914760</v>
      </c>
      <c r="S419" s="4">
        <v>103</v>
      </c>
      <c r="T419" s="3" t="s">
        <v>79</v>
      </c>
      <c r="U419" s="4">
        <v>210</v>
      </c>
      <c r="V419" s="3" t="s">
        <v>1266</v>
      </c>
      <c r="W419" s="3" t="s">
        <v>1267</v>
      </c>
    </row>
    <row r="420" spans="1:23" x14ac:dyDescent="0.3">
      <c r="A420" s="7" t="s">
        <v>1239</v>
      </c>
      <c r="B420" s="8" t="s">
        <v>398</v>
      </c>
      <c r="C420" s="8" t="s">
        <v>1240</v>
      </c>
      <c r="D420" s="8" t="s">
        <v>1249</v>
      </c>
      <c r="E420" s="8">
        <v>13310</v>
      </c>
      <c r="F420" s="9">
        <v>210</v>
      </c>
      <c r="G420" s="10">
        <v>5</v>
      </c>
      <c r="H420" s="10">
        <v>1050</v>
      </c>
      <c r="I420" s="8" t="s">
        <v>1366</v>
      </c>
      <c r="J420" s="8" t="s">
        <v>369</v>
      </c>
      <c r="K420" s="8" t="s">
        <v>369</v>
      </c>
      <c r="L420" s="8" t="s">
        <v>370</v>
      </c>
      <c r="M420" s="8" t="s">
        <v>914</v>
      </c>
      <c r="N420" s="8" t="s">
        <v>495</v>
      </c>
      <c r="O420" s="8" t="s">
        <v>1242</v>
      </c>
      <c r="P420" s="8" t="s">
        <v>372</v>
      </c>
      <c r="Q420" s="11">
        <v>871.2</v>
      </c>
      <c r="R420" s="11">
        <v>914760</v>
      </c>
      <c r="S420" s="9">
        <v>103</v>
      </c>
      <c r="T420" s="8" t="s">
        <v>79</v>
      </c>
      <c r="U420" s="9">
        <v>210</v>
      </c>
      <c r="V420" s="8" t="s">
        <v>1268</v>
      </c>
      <c r="W420" s="8" t="s">
        <v>1269</v>
      </c>
    </row>
    <row r="421" spans="1:23" x14ac:dyDescent="0.3">
      <c r="A421" s="2" t="s">
        <v>1239</v>
      </c>
      <c r="B421" s="3" t="s">
        <v>398</v>
      </c>
      <c r="C421" s="3" t="s">
        <v>1240</v>
      </c>
      <c r="D421" s="3" t="s">
        <v>1249</v>
      </c>
      <c r="E421" s="3">
        <v>13311</v>
      </c>
      <c r="F421" s="4">
        <v>210</v>
      </c>
      <c r="G421" s="5">
        <v>5</v>
      </c>
      <c r="H421" s="5">
        <v>1050</v>
      </c>
      <c r="I421" s="3" t="s">
        <v>1366</v>
      </c>
      <c r="J421" s="3" t="s">
        <v>369</v>
      </c>
      <c r="K421" s="3" t="s">
        <v>369</v>
      </c>
      <c r="L421" s="3" t="s">
        <v>370</v>
      </c>
      <c r="M421" s="3" t="s">
        <v>914</v>
      </c>
      <c r="N421" s="3" t="s">
        <v>495</v>
      </c>
      <c r="O421" s="3" t="s">
        <v>1242</v>
      </c>
      <c r="P421" s="3" t="s">
        <v>372</v>
      </c>
      <c r="Q421" s="6">
        <v>871.2</v>
      </c>
      <c r="R421" s="6">
        <v>914760</v>
      </c>
      <c r="S421" s="4">
        <v>103</v>
      </c>
      <c r="T421" s="3" t="s">
        <v>79</v>
      </c>
      <c r="U421" s="4">
        <v>210</v>
      </c>
      <c r="V421" s="3" t="s">
        <v>1270</v>
      </c>
      <c r="W421" s="3" t="s">
        <v>1271</v>
      </c>
    </row>
    <row r="422" spans="1:23" x14ac:dyDescent="0.3">
      <c r="A422" s="7" t="s">
        <v>1239</v>
      </c>
      <c r="B422" s="8" t="s">
        <v>398</v>
      </c>
      <c r="C422" s="8" t="s">
        <v>1240</v>
      </c>
      <c r="D422" s="8" t="s">
        <v>1249</v>
      </c>
      <c r="E422" s="8">
        <v>13312</v>
      </c>
      <c r="F422" s="9">
        <v>210</v>
      </c>
      <c r="G422" s="10">
        <v>5</v>
      </c>
      <c r="H422" s="10">
        <v>1050</v>
      </c>
      <c r="I422" s="8" t="s">
        <v>1366</v>
      </c>
      <c r="J422" s="8" t="s">
        <v>369</v>
      </c>
      <c r="K422" s="8" t="s">
        <v>369</v>
      </c>
      <c r="L422" s="8" t="s">
        <v>370</v>
      </c>
      <c r="M422" s="8" t="s">
        <v>914</v>
      </c>
      <c r="N422" s="8" t="s">
        <v>495</v>
      </c>
      <c r="O422" s="8" t="s">
        <v>1242</v>
      </c>
      <c r="P422" s="8" t="s">
        <v>372</v>
      </c>
      <c r="Q422" s="11">
        <v>871.2</v>
      </c>
      <c r="R422" s="11">
        <v>914760</v>
      </c>
      <c r="S422" s="9">
        <v>103</v>
      </c>
      <c r="T422" s="8" t="s">
        <v>79</v>
      </c>
      <c r="U422" s="9">
        <v>210</v>
      </c>
      <c r="V422" s="8" t="s">
        <v>1272</v>
      </c>
      <c r="W422" s="8" t="s">
        <v>1273</v>
      </c>
    </row>
    <row r="423" spans="1:23" x14ac:dyDescent="0.3">
      <c r="A423" s="2" t="s">
        <v>1239</v>
      </c>
      <c r="B423" s="3" t="s">
        <v>398</v>
      </c>
      <c r="C423" s="3" t="s">
        <v>1240</v>
      </c>
      <c r="D423" s="3" t="s">
        <v>1249</v>
      </c>
      <c r="E423" s="3">
        <v>13313</v>
      </c>
      <c r="F423" s="4">
        <v>210</v>
      </c>
      <c r="G423" s="5">
        <v>5</v>
      </c>
      <c r="H423" s="5">
        <v>1050</v>
      </c>
      <c r="I423" s="3" t="s">
        <v>1366</v>
      </c>
      <c r="J423" s="3" t="s">
        <v>369</v>
      </c>
      <c r="K423" s="3" t="s">
        <v>369</v>
      </c>
      <c r="L423" s="3" t="s">
        <v>370</v>
      </c>
      <c r="M423" s="3" t="s">
        <v>914</v>
      </c>
      <c r="N423" s="3" t="s">
        <v>495</v>
      </c>
      <c r="O423" s="3" t="s">
        <v>1242</v>
      </c>
      <c r="P423" s="3" t="s">
        <v>372</v>
      </c>
      <c r="Q423" s="6">
        <v>871.2</v>
      </c>
      <c r="R423" s="6">
        <v>914760</v>
      </c>
      <c r="S423" s="4">
        <v>103</v>
      </c>
      <c r="T423" s="3" t="s">
        <v>79</v>
      </c>
      <c r="U423" s="4">
        <v>210</v>
      </c>
      <c r="V423" s="3" t="s">
        <v>1274</v>
      </c>
      <c r="W423" s="3" t="s">
        <v>1275</v>
      </c>
    </row>
    <row r="424" spans="1:23" x14ac:dyDescent="0.3">
      <c r="A424" s="7" t="s">
        <v>1239</v>
      </c>
      <c r="B424" s="8" t="s">
        <v>398</v>
      </c>
      <c r="C424" s="8" t="s">
        <v>1240</v>
      </c>
      <c r="D424" s="8" t="s">
        <v>1249</v>
      </c>
      <c r="E424" s="8">
        <v>13314</v>
      </c>
      <c r="F424" s="9">
        <v>210</v>
      </c>
      <c r="G424" s="10">
        <v>5</v>
      </c>
      <c r="H424" s="10">
        <v>1050</v>
      </c>
      <c r="I424" s="8" t="s">
        <v>1366</v>
      </c>
      <c r="J424" s="8" t="s">
        <v>369</v>
      </c>
      <c r="K424" s="8" t="s">
        <v>369</v>
      </c>
      <c r="L424" s="8" t="s">
        <v>370</v>
      </c>
      <c r="M424" s="8" t="s">
        <v>914</v>
      </c>
      <c r="N424" s="8" t="s">
        <v>495</v>
      </c>
      <c r="O424" s="8" t="s">
        <v>1242</v>
      </c>
      <c r="P424" s="8" t="s">
        <v>372</v>
      </c>
      <c r="Q424" s="11">
        <v>871.2</v>
      </c>
      <c r="R424" s="11">
        <v>914760</v>
      </c>
      <c r="S424" s="9">
        <v>103</v>
      </c>
      <c r="T424" s="8" t="s">
        <v>79</v>
      </c>
      <c r="U424" s="9">
        <v>210</v>
      </c>
      <c r="V424" s="8" t="s">
        <v>1276</v>
      </c>
      <c r="W424" s="8" t="s">
        <v>1277</v>
      </c>
    </row>
    <row r="425" spans="1:23" x14ac:dyDescent="0.3">
      <c r="A425" s="2" t="s">
        <v>585</v>
      </c>
      <c r="B425" s="3" t="s">
        <v>398</v>
      </c>
      <c r="C425" s="3" t="s">
        <v>1278</v>
      </c>
      <c r="D425" s="3" t="s">
        <v>1279</v>
      </c>
      <c r="E425" s="3">
        <v>15717</v>
      </c>
      <c r="F425" s="4">
        <v>200</v>
      </c>
      <c r="G425" s="5">
        <v>4</v>
      </c>
      <c r="H425" s="5">
        <v>800</v>
      </c>
      <c r="I425" s="3" t="s">
        <v>1366</v>
      </c>
      <c r="J425" s="3" t="s">
        <v>1280</v>
      </c>
      <c r="K425" s="3" t="s">
        <v>1280</v>
      </c>
      <c r="L425" s="3" t="s">
        <v>1281</v>
      </c>
      <c r="M425" s="3" t="s">
        <v>1282</v>
      </c>
      <c r="N425" s="3" t="s">
        <v>495</v>
      </c>
      <c r="O425" s="3" t="s">
        <v>1242</v>
      </c>
      <c r="P425" s="3" t="s">
        <v>372</v>
      </c>
      <c r="Q425" s="6">
        <v>900</v>
      </c>
      <c r="R425" s="6">
        <v>720000</v>
      </c>
      <c r="S425" s="4">
        <v>34</v>
      </c>
      <c r="T425" s="3" t="s">
        <v>79</v>
      </c>
      <c r="U425" s="4">
        <v>200</v>
      </c>
      <c r="V425" s="3" t="s">
        <v>1283</v>
      </c>
      <c r="W425" s="3" t="s">
        <v>1284</v>
      </c>
    </row>
    <row r="426" spans="1:23" x14ac:dyDescent="0.3">
      <c r="A426" s="7" t="s">
        <v>585</v>
      </c>
      <c r="B426" s="8" t="s">
        <v>398</v>
      </c>
      <c r="C426" s="8" t="s">
        <v>1278</v>
      </c>
      <c r="D426" s="8" t="s">
        <v>1285</v>
      </c>
      <c r="E426" s="8">
        <v>15718</v>
      </c>
      <c r="F426" s="9">
        <v>210</v>
      </c>
      <c r="G426" s="10">
        <v>5</v>
      </c>
      <c r="H426" s="10">
        <v>1050</v>
      </c>
      <c r="I426" s="8" t="s">
        <v>1366</v>
      </c>
      <c r="J426" s="8" t="s">
        <v>369</v>
      </c>
      <c r="K426" s="8" t="s">
        <v>369</v>
      </c>
      <c r="L426" s="8" t="s">
        <v>370</v>
      </c>
      <c r="M426" s="8" t="s">
        <v>914</v>
      </c>
      <c r="N426" s="8" t="s">
        <v>495</v>
      </c>
      <c r="O426" s="8" t="s">
        <v>1242</v>
      </c>
      <c r="P426" s="8" t="s">
        <v>372</v>
      </c>
      <c r="Q426" s="11">
        <v>871.2</v>
      </c>
      <c r="R426" s="11">
        <v>914760</v>
      </c>
      <c r="S426" s="9">
        <v>34</v>
      </c>
      <c r="T426" s="8" t="s">
        <v>79</v>
      </c>
      <c r="U426" s="9">
        <v>210</v>
      </c>
      <c r="V426" s="8" t="s">
        <v>1286</v>
      </c>
      <c r="W426" s="8" t="s">
        <v>1287</v>
      </c>
    </row>
    <row r="427" spans="1:23" x14ac:dyDescent="0.3">
      <c r="A427" s="2" t="s">
        <v>585</v>
      </c>
      <c r="B427" s="3" t="s">
        <v>398</v>
      </c>
      <c r="C427" s="3" t="s">
        <v>1278</v>
      </c>
      <c r="D427" s="3" t="s">
        <v>1288</v>
      </c>
      <c r="E427" s="3">
        <v>15719</v>
      </c>
      <c r="F427" s="4">
        <v>210</v>
      </c>
      <c r="G427" s="5">
        <v>5</v>
      </c>
      <c r="H427" s="5">
        <v>1050</v>
      </c>
      <c r="I427" s="3" t="s">
        <v>1366</v>
      </c>
      <c r="J427" s="3" t="s">
        <v>369</v>
      </c>
      <c r="K427" s="3" t="s">
        <v>369</v>
      </c>
      <c r="L427" s="3" t="s">
        <v>370</v>
      </c>
      <c r="M427" s="3" t="s">
        <v>914</v>
      </c>
      <c r="N427" s="3" t="s">
        <v>495</v>
      </c>
      <c r="O427" s="3" t="s">
        <v>1242</v>
      </c>
      <c r="P427" s="3" t="s">
        <v>372</v>
      </c>
      <c r="Q427" s="6">
        <v>871.2</v>
      </c>
      <c r="R427" s="6">
        <v>914760</v>
      </c>
      <c r="S427" s="4">
        <v>34</v>
      </c>
      <c r="T427" s="3" t="s">
        <v>79</v>
      </c>
      <c r="U427" s="4">
        <v>210</v>
      </c>
      <c r="V427" s="3" t="s">
        <v>1289</v>
      </c>
      <c r="W427" s="3" t="s">
        <v>1290</v>
      </c>
    </row>
    <row r="428" spans="1:23" x14ac:dyDescent="0.3">
      <c r="A428" s="7" t="s">
        <v>585</v>
      </c>
      <c r="B428" s="8" t="s">
        <v>398</v>
      </c>
      <c r="C428" s="8" t="s">
        <v>1278</v>
      </c>
      <c r="D428" s="8" t="s">
        <v>1291</v>
      </c>
      <c r="E428" s="8">
        <v>15720</v>
      </c>
      <c r="F428" s="9">
        <v>210</v>
      </c>
      <c r="G428" s="10">
        <v>5</v>
      </c>
      <c r="H428" s="10">
        <v>1050</v>
      </c>
      <c r="I428" s="8" t="s">
        <v>1366</v>
      </c>
      <c r="J428" s="8" t="s">
        <v>369</v>
      </c>
      <c r="K428" s="8" t="s">
        <v>369</v>
      </c>
      <c r="L428" s="8" t="s">
        <v>370</v>
      </c>
      <c r="M428" s="8" t="s">
        <v>914</v>
      </c>
      <c r="N428" s="8" t="s">
        <v>495</v>
      </c>
      <c r="O428" s="8" t="s">
        <v>1242</v>
      </c>
      <c r="P428" s="8" t="s">
        <v>372</v>
      </c>
      <c r="Q428" s="11">
        <v>871.2</v>
      </c>
      <c r="R428" s="11">
        <v>914760</v>
      </c>
      <c r="S428" s="9">
        <v>34</v>
      </c>
      <c r="T428" s="8" t="s">
        <v>79</v>
      </c>
      <c r="U428" s="9">
        <v>210</v>
      </c>
      <c r="V428" s="8" t="s">
        <v>1292</v>
      </c>
      <c r="W428" s="8" t="s">
        <v>1293</v>
      </c>
    </row>
    <row r="429" spans="1:23" x14ac:dyDescent="0.3">
      <c r="A429" s="2" t="s">
        <v>585</v>
      </c>
      <c r="B429" s="3" t="s">
        <v>398</v>
      </c>
      <c r="C429" s="3" t="s">
        <v>1278</v>
      </c>
      <c r="D429" s="3" t="s">
        <v>1294</v>
      </c>
      <c r="E429" s="3">
        <v>15721</v>
      </c>
      <c r="F429" s="4">
        <v>210</v>
      </c>
      <c r="G429" s="5">
        <v>5</v>
      </c>
      <c r="H429" s="5">
        <v>1050</v>
      </c>
      <c r="I429" s="3" t="s">
        <v>1366</v>
      </c>
      <c r="J429" s="3" t="s">
        <v>369</v>
      </c>
      <c r="K429" s="3" t="s">
        <v>369</v>
      </c>
      <c r="L429" s="3" t="s">
        <v>370</v>
      </c>
      <c r="M429" s="3" t="s">
        <v>914</v>
      </c>
      <c r="N429" s="3" t="s">
        <v>495</v>
      </c>
      <c r="O429" s="3" t="s">
        <v>1242</v>
      </c>
      <c r="P429" s="3" t="s">
        <v>372</v>
      </c>
      <c r="Q429" s="6">
        <v>871.2</v>
      </c>
      <c r="R429" s="6">
        <v>914760</v>
      </c>
      <c r="S429" s="4">
        <v>34</v>
      </c>
      <c r="T429" s="3" t="s">
        <v>79</v>
      </c>
      <c r="U429" s="4">
        <v>210</v>
      </c>
      <c r="V429" s="3" t="s">
        <v>1295</v>
      </c>
      <c r="W429" s="3" t="s">
        <v>1296</v>
      </c>
    </row>
    <row r="430" spans="1:23" x14ac:dyDescent="0.3">
      <c r="A430" s="7" t="s">
        <v>585</v>
      </c>
      <c r="B430" s="8" t="s">
        <v>398</v>
      </c>
      <c r="C430" s="8" t="s">
        <v>1278</v>
      </c>
      <c r="D430" s="8" t="s">
        <v>1297</v>
      </c>
      <c r="E430" s="8">
        <v>15722</v>
      </c>
      <c r="F430" s="9">
        <v>210</v>
      </c>
      <c r="G430" s="10">
        <v>5</v>
      </c>
      <c r="H430" s="10">
        <v>1050</v>
      </c>
      <c r="I430" s="8" t="s">
        <v>1366</v>
      </c>
      <c r="J430" s="8" t="s">
        <v>369</v>
      </c>
      <c r="K430" s="8" t="s">
        <v>369</v>
      </c>
      <c r="L430" s="8" t="s">
        <v>370</v>
      </c>
      <c r="M430" s="8" t="s">
        <v>914</v>
      </c>
      <c r="N430" s="8" t="s">
        <v>495</v>
      </c>
      <c r="O430" s="8" t="s">
        <v>1242</v>
      </c>
      <c r="P430" s="8" t="s">
        <v>372</v>
      </c>
      <c r="Q430" s="11">
        <v>871.2</v>
      </c>
      <c r="R430" s="11">
        <v>914760</v>
      </c>
      <c r="S430" s="9">
        <v>34</v>
      </c>
      <c r="T430" s="8" t="s">
        <v>79</v>
      </c>
      <c r="U430" s="9">
        <v>210</v>
      </c>
      <c r="V430" s="8" t="s">
        <v>1298</v>
      </c>
      <c r="W430" s="8" t="s">
        <v>1299</v>
      </c>
    </row>
    <row r="431" spans="1:23" x14ac:dyDescent="0.3">
      <c r="A431" s="2" t="s">
        <v>585</v>
      </c>
      <c r="B431" s="3" t="s">
        <v>398</v>
      </c>
      <c r="C431" s="3" t="s">
        <v>1278</v>
      </c>
      <c r="D431" s="3" t="s">
        <v>1300</v>
      </c>
      <c r="E431" s="3">
        <v>15723</v>
      </c>
      <c r="F431" s="4">
        <v>210</v>
      </c>
      <c r="G431" s="5">
        <v>5</v>
      </c>
      <c r="H431" s="5">
        <v>1050</v>
      </c>
      <c r="I431" s="3" t="s">
        <v>1366</v>
      </c>
      <c r="J431" s="3" t="s">
        <v>369</v>
      </c>
      <c r="K431" s="3" t="s">
        <v>369</v>
      </c>
      <c r="L431" s="3" t="s">
        <v>370</v>
      </c>
      <c r="M431" s="3" t="s">
        <v>914</v>
      </c>
      <c r="N431" s="3" t="s">
        <v>495</v>
      </c>
      <c r="O431" s="3" t="s">
        <v>1242</v>
      </c>
      <c r="P431" s="3" t="s">
        <v>372</v>
      </c>
      <c r="Q431" s="6">
        <v>871.2</v>
      </c>
      <c r="R431" s="6">
        <v>914760</v>
      </c>
      <c r="S431" s="4">
        <v>34</v>
      </c>
      <c r="T431" s="3" t="s">
        <v>79</v>
      </c>
      <c r="U431" s="4">
        <v>210</v>
      </c>
      <c r="V431" s="3" t="s">
        <v>1301</v>
      </c>
      <c r="W431" s="3" t="s">
        <v>1302</v>
      </c>
    </row>
    <row r="432" spans="1:23" x14ac:dyDescent="0.3">
      <c r="A432" s="7" t="s">
        <v>585</v>
      </c>
      <c r="B432" s="8" t="s">
        <v>398</v>
      </c>
      <c r="C432" s="8" t="s">
        <v>1278</v>
      </c>
      <c r="D432" s="8" t="s">
        <v>1303</v>
      </c>
      <c r="E432" s="8">
        <v>15724</v>
      </c>
      <c r="F432" s="9">
        <v>210</v>
      </c>
      <c r="G432" s="10">
        <v>5</v>
      </c>
      <c r="H432" s="10">
        <v>1050</v>
      </c>
      <c r="I432" s="8" t="s">
        <v>1366</v>
      </c>
      <c r="J432" s="8" t="s">
        <v>369</v>
      </c>
      <c r="K432" s="8" t="s">
        <v>369</v>
      </c>
      <c r="L432" s="8" t="s">
        <v>370</v>
      </c>
      <c r="M432" s="8" t="s">
        <v>914</v>
      </c>
      <c r="N432" s="8" t="s">
        <v>495</v>
      </c>
      <c r="O432" s="8" t="s">
        <v>1242</v>
      </c>
      <c r="P432" s="8" t="s">
        <v>372</v>
      </c>
      <c r="Q432" s="11">
        <v>871.2</v>
      </c>
      <c r="R432" s="11">
        <v>914760</v>
      </c>
      <c r="S432" s="9">
        <v>34</v>
      </c>
      <c r="T432" s="8" t="s">
        <v>79</v>
      </c>
      <c r="U432" s="9">
        <v>210</v>
      </c>
      <c r="V432" s="8" t="s">
        <v>1304</v>
      </c>
      <c r="W432" s="8" t="s">
        <v>1305</v>
      </c>
    </row>
    <row r="433" spans="1:23" x14ac:dyDescent="0.3">
      <c r="A433" s="2" t="s">
        <v>585</v>
      </c>
      <c r="B433" s="3" t="s">
        <v>398</v>
      </c>
      <c r="C433" s="3" t="s">
        <v>1278</v>
      </c>
      <c r="D433" s="3" t="s">
        <v>1306</v>
      </c>
      <c r="E433" s="3">
        <v>15725</v>
      </c>
      <c r="F433" s="4">
        <v>210</v>
      </c>
      <c r="G433" s="5">
        <v>5</v>
      </c>
      <c r="H433" s="5">
        <v>1050</v>
      </c>
      <c r="I433" s="3" t="s">
        <v>1366</v>
      </c>
      <c r="J433" s="3" t="s">
        <v>369</v>
      </c>
      <c r="K433" s="3" t="s">
        <v>369</v>
      </c>
      <c r="L433" s="3" t="s">
        <v>370</v>
      </c>
      <c r="M433" s="3" t="s">
        <v>914</v>
      </c>
      <c r="N433" s="3" t="s">
        <v>495</v>
      </c>
      <c r="O433" s="3" t="s">
        <v>1242</v>
      </c>
      <c r="P433" s="3" t="s">
        <v>372</v>
      </c>
      <c r="Q433" s="6">
        <v>871.2</v>
      </c>
      <c r="R433" s="6">
        <v>914760</v>
      </c>
      <c r="S433" s="4">
        <v>34</v>
      </c>
      <c r="T433" s="3" t="s">
        <v>79</v>
      </c>
      <c r="U433" s="4">
        <v>210</v>
      </c>
      <c r="V433" s="3" t="s">
        <v>1307</v>
      </c>
      <c r="W433" s="3" t="s">
        <v>1308</v>
      </c>
    </row>
    <row r="434" spans="1:23" x14ac:dyDescent="0.3">
      <c r="A434" s="7" t="s">
        <v>585</v>
      </c>
      <c r="B434" s="8" t="s">
        <v>398</v>
      </c>
      <c r="C434" s="8" t="s">
        <v>1278</v>
      </c>
      <c r="D434" s="8" t="s">
        <v>1309</v>
      </c>
      <c r="E434" s="8">
        <v>15726</v>
      </c>
      <c r="F434" s="9">
        <v>210</v>
      </c>
      <c r="G434" s="10">
        <v>5</v>
      </c>
      <c r="H434" s="10">
        <v>1050</v>
      </c>
      <c r="I434" s="8" t="s">
        <v>1366</v>
      </c>
      <c r="J434" s="8" t="s">
        <v>1398</v>
      </c>
      <c r="K434" s="8" t="s">
        <v>1209</v>
      </c>
      <c r="L434" s="8" t="s">
        <v>465</v>
      </c>
      <c r="M434" s="8" t="s">
        <v>1210</v>
      </c>
      <c r="N434" s="8" t="s">
        <v>495</v>
      </c>
      <c r="O434" s="8" t="s">
        <v>1242</v>
      </c>
      <c r="P434" s="8" t="s">
        <v>372</v>
      </c>
      <c r="Q434" s="11">
        <v>1152</v>
      </c>
      <c r="R434" s="11">
        <v>1209600</v>
      </c>
      <c r="S434" s="9">
        <v>34</v>
      </c>
      <c r="T434" s="8" t="s">
        <v>79</v>
      </c>
      <c r="U434" s="9">
        <v>210</v>
      </c>
      <c r="V434" s="8" t="s">
        <v>1310</v>
      </c>
      <c r="W434" s="8" t="s">
        <v>1311</v>
      </c>
    </row>
    <row r="435" spans="1:23" x14ac:dyDescent="0.3">
      <c r="A435" s="2" t="s">
        <v>585</v>
      </c>
      <c r="B435" s="3" t="s">
        <v>398</v>
      </c>
      <c r="C435" s="3" t="s">
        <v>1278</v>
      </c>
      <c r="D435" s="3" t="s">
        <v>1309</v>
      </c>
      <c r="E435" s="3">
        <v>15727</v>
      </c>
      <c r="F435" s="4">
        <v>210</v>
      </c>
      <c r="G435" s="5">
        <v>5</v>
      </c>
      <c r="H435" s="5">
        <v>1050</v>
      </c>
      <c r="I435" s="3" t="s">
        <v>1366</v>
      </c>
      <c r="J435" s="3" t="s">
        <v>1398</v>
      </c>
      <c r="K435" s="3" t="s">
        <v>1209</v>
      </c>
      <c r="L435" s="3" t="s">
        <v>465</v>
      </c>
      <c r="M435" s="3" t="s">
        <v>1210</v>
      </c>
      <c r="N435" s="3" t="s">
        <v>495</v>
      </c>
      <c r="O435" s="3" t="s">
        <v>1242</v>
      </c>
      <c r="P435" s="3" t="s">
        <v>372</v>
      </c>
      <c r="Q435" s="6">
        <v>1152</v>
      </c>
      <c r="R435" s="6">
        <v>1209600</v>
      </c>
      <c r="S435" s="4">
        <v>34</v>
      </c>
      <c r="T435" s="3" t="s">
        <v>79</v>
      </c>
      <c r="U435" s="4">
        <v>210</v>
      </c>
      <c r="V435" s="3" t="s">
        <v>1312</v>
      </c>
      <c r="W435" s="3" t="s">
        <v>1313</v>
      </c>
    </row>
    <row r="436" spans="1:23" x14ac:dyDescent="0.3">
      <c r="A436" s="7" t="s">
        <v>585</v>
      </c>
      <c r="B436" s="8" t="s">
        <v>398</v>
      </c>
      <c r="C436" s="8" t="s">
        <v>1278</v>
      </c>
      <c r="D436" s="8" t="s">
        <v>1314</v>
      </c>
      <c r="E436" s="8">
        <v>15728</v>
      </c>
      <c r="F436" s="9">
        <v>210</v>
      </c>
      <c r="G436" s="10">
        <v>5</v>
      </c>
      <c r="H436" s="10">
        <v>1050</v>
      </c>
      <c r="I436" s="8" t="s">
        <v>1366</v>
      </c>
      <c r="J436" s="8" t="s">
        <v>451</v>
      </c>
      <c r="K436" s="8" t="s">
        <v>451</v>
      </c>
      <c r="L436" s="8" t="s">
        <v>431</v>
      </c>
      <c r="M436" s="8" t="s">
        <v>908</v>
      </c>
      <c r="N436" s="8" t="s">
        <v>495</v>
      </c>
      <c r="O436" s="8" t="s">
        <v>1242</v>
      </c>
      <c r="P436" s="8" t="s">
        <v>372</v>
      </c>
      <c r="Q436" s="11">
        <v>1057</v>
      </c>
      <c r="R436" s="11">
        <v>1109850</v>
      </c>
      <c r="S436" s="9">
        <v>34</v>
      </c>
      <c r="T436" s="8" t="s">
        <v>79</v>
      </c>
      <c r="U436" s="9">
        <v>210</v>
      </c>
      <c r="V436" s="8" t="s">
        <v>1315</v>
      </c>
      <c r="W436" s="8" t="s">
        <v>1316</v>
      </c>
    </row>
    <row r="437" spans="1:23" x14ac:dyDescent="0.3">
      <c r="A437" s="2" t="s">
        <v>585</v>
      </c>
      <c r="B437" s="3" t="s">
        <v>398</v>
      </c>
      <c r="C437" s="3" t="s">
        <v>1278</v>
      </c>
      <c r="D437" s="3" t="s">
        <v>1317</v>
      </c>
      <c r="E437" s="3">
        <v>15729</v>
      </c>
      <c r="F437" s="4">
        <v>210</v>
      </c>
      <c r="G437" s="5">
        <v>5</v>
      </c>
      <c r="H437" s="5">
        <v>1050</v>
      </c>
      <c r="I437" s="3" t="s">
        <v>1366</v>
      </c>
      <c r="J437" s="3" t="s">
        <v>451</v>
      </c>
      <c r="K437" s="3" t="s">
        <v>451</v>
      </c>
      <c r="L437" s="3" t="s">
        <v>431</v>
      </c>
      <c r="M437" s="3" t="s">
        <v>908</v>
      </c>
      <c r="N437" s="3" t="s">
        <v>495</v>
      </c>
      <c r="O437" s="3" t="s">
        <v>1242</v>
      </c>
      <c r="P437" s="3" t="s">
        <v>372</v>
      </c>
      <c r="Q437" s="6">
        <v>1057</v>
      </c>
      <c r="R437" s="6">
        <v>1109850</v>
      </c>
      <c r="S437" s="4">
        <v>34</v>
      </c>
      <c r="T437" s="3" t="s">
        <v>79</v>
      </c>
      <c r="U437" s="4">
        <v>210</v>
      </c>
      <c r="V437" s="3" t="s">
        <v>1318</v>
      </c>
      <c r="W437" s="3" t="s">
        <v>1319</v>
      </c>
    </row>
    <row r="438" spans="1:23" x14ac:dyDescent="0.3">
      <c r="A438" s="7" t="s">
        <v>585</v>
      </c>
      <c r="B438" s="8" t="s">
        <v>398</v>
      </c>
      <c r="C438" s="8" t="s">
        <v>1278</v>
      </c>
      <c r="D438" s="8" t="s">
        <v>1320</v>
      </c>
      <c r="E438" s="8">
        <v>15730</v>
      </c>
      <c r="F438" s="9">
        <v>210</v>
      </c>
      <c r="G438" s="10">
        <v>5</v>
      </c>
      <c r="H438" s="10">
        <v>1050</v>
      </c>
      <c r="I438" s="8" t="s">
        <v>1366</v>
      </c>
      <c r="J438" s="8" t="s">
        <v>1014</v>
      </c>
      <c r="K438" s="8" t="s">
        <v>1014</v>
      </c>
      <c r="L438" s="8" t="s">
        <v>1015</v>
      </c>
      <c r="M438" s="8" t="s">
        <v>1016</v>
      </c>
      <c r="N438" s="8" t="s">
        <v>495</v>
      </c>
      <c r="O438" s="8" t="s">
        <v>1242</v>
      </c>
      <c r="P438" s="8" t="s">
        <v>372</v>
      </c>
      <c r="Q438" s="11">
        <v>753.28</v>
      </c>
      <c r="R438" s="11">
        <v>790944</v>
      </c>
      <c r="S438" s="9">
        <v>34</v>
      </c>
      <c r="T438" s="8" t="s">
        <v>79</v>
      </c>
      <c r="U438" s="9">
        <v>210</v>
      </c>
      <c r="V438" s="8" t="s">
        <v>1321</v>
      </c>
      <c r="W438" s="8" t="s">
        <v>1322</v>
      </c>
    </row>
    <row r="439" spans="1:23" x14ac:dyDescent="0.3">
      <c r="A439" s="2" t="s">
        <v>585</v>
      </c>
      <c r="B439" s="3" t="s">
        <v>398</v>
      </c>
      <c r="C439" s="3" t="s">
        <v>1278</v>
      </c>
      <c r="D439" s="3" t="s">
        <v>1323</v>
      </c>
      <c r="E439" s="3">
        <v>15731</v>
      </c>
      <c r="F439" s="4">
        <v>210</v>
      </c>
      <c r="G439" s="5">
        <v>5</v>
      </c>
      <c r="H439" s="5">
        <v>1050</v>
      </c>
      <c r="I439" s="3" t="s">
        <v>1366</v>
      </c>
      <c r="J439" s="3" t="s">
        <v>1014</v>
      </c>
      <c r="K439" s="3" t="s">
        <v>1014</v>
      </c>
      <c r="L439" s="3" t="s">
        <v>1015</v>
      </c>
      <c r="M439" s="3" t="s">
        <v>1016</v>
      </c>
      <c r="N439" s="3" t="s">
        <v>495</v>
      </c>
      <c r="O439" s="3" t="s">
        <v>1242</v>
      </c>
      <c r="P439" s="3" t="s">
        <v>372</v>
      </c>
      <c r="Q439" s="6">
        <v>753.28</v>
      </c>
      <c r="R439" s="6">
        <v>790944</v>
      </c>
      <c r="S439" s="4">
        <v>34</v>
      </c>
      <c r="T439" s="3" t="s">
        <v>79</v>
      </c>
      <c r="U439" s="4">
        <v>210</v>
      </c>
      <c r="V439" s="3" t="s">
        <v>1324</v>
      </c>
      <c r="W439" s="3" t="s">
        <v>1325</v>
      </c>
    </row>
    <row r="440" spans="1:23" x14ac:dyDescent="0.3">
      <c r="A440" s="7" t="s">
        <v>585</v>
      </c>
      <c r="B440" s="8" t="s">
        <v>398</v>
      </c>
      <c r="C440" s="8" t="s">
        <v>1278</v>
      </c>
      <c r="D440" s="8" t="s">
        <v>1326</v>
      </c>
      <c r="E440" s="8">
        <v>15732</v>
      </c>
      <c r="F440" s="9">
        <v>210</v>
      </c>
      <c r="G440" s="10">
        <v>5</v>
      </c>
      <c r="H440" s="10">
        <v>1050</v>
      </c>
      <c r="I440" s="8" t="s">
        <v>1366</v>
      </c>
      <c r="J440" s="8" t="s">
        <v>1014</v>
      </c>
      <c r="K440" s="8" t="s">
        <v>1014</v>
      </c>
      <c r="L440" s="8" t="s">
        <v>1015</v>
      </c>
      <c r="M440" s="8" t="s">
        <v>1016</v>
      </c>
      <c r="N440" s="8" t="s">
        <v>495</v>
      </c>
      <c r="O440" s="8" t="s">
        <v>1242</v>
      </c>
      <c r="P440" s="8" t="s">
        <v>372</v>
      </c>
      <c r="Q440" s="11">
        <v>753.28</v>
      </c>
      <c r="R440" s="11">
        <v>790944</v>
      </c>
      <c r="S440" s="9">
        <v>34</v>
      </c>
      <c r="T440" s="8" t="s">
        <v>79</v>
      </c>
      <c r="U440" s="9">
        <v>210</v>
      </c>
      <c r="V440" s="8" t="s">
        <v>1327</v>
      </c>
      <c r="W440" s="8" t="s">
        <v>1328</v>
      </c>
    </row>
    <row r="441" spans="1:23" x14ac:dyDescent="0.3">
      <c r="A441" s="2" t="s">
        <v>585</v>
      </c>
      <c r="B441" s="3" t="s">
        <v>398</v>
      </c>
      <c r="C441" s="3" t="s">
        <v>1278</v>
      </c>
      <c r="D441" s="3" t="s">
        <v>1329</v>
      </c>
      <c r="E441" s="3">
        <v>15733</v>
      </c>
      <c r="F441" s="4">
        <v>210</v>
      </c>
      <c r="G441" s="5">
        <v>5</v>
      </c>
      <c r="H441" s="5">
        <v>1050</v>
      </c>
      <c r="I441" s="3" t="s">
        <v>1366</v>
      </c>
      <c r="J441" s="3" t="s">
        <v>1014</v>
      </c>
      <c r="K441" s="3" t="s">
        <v>1014</v>
      </c>
      <c r="L441" s="3" t="s">
        <v>1015</v>
      </c>
      <c r="M441" s="3" t="s">
        <v>1016</v>
      </c>
      <c r="N441" s="3" t="s">
        <v>495</v>
      </c>
      <c r="O441" s="3" t="s">
        <v>1242</v>
      </c>
      <c r="P441" s="3" t="s">
        <v>372</v>
      </c>
      <c r="Q441" s="6">
        <v>753.28</v>
      </c>
      <c r="R441" s="6">
        <v>790944</v>
      </c>
      <c r="S441" s="4">
        <v>34</v>
      </c>
      <c r="T441" s="3" t="s">
        <v>79</v>
      </c>
      <c r="U441" s="4">
        <v>210</v>
      </c>
      <c r="V441" s="3" t="s">
        <v>1330</v>
      </c>
      <c r="W441" s="3" t="s">
        <v>1331</v>
      </c>
    </row>
    <row r="442" spans="1:23" x14ac:dyDescent="0.3">
      <c r="A442" s="7" t="s">
        <v>585</v>
      </c>
      <c r="B442" s="8" t="s">
        <v>398</v>
      </c>
      <c r="C442" s="8" t="s">
        <v>1278</v>
      </c>
      <c r="D442" s="8" t="s">
        <v>1332</v>
      </c>
      <c r="E442" s="8">
        <v>15734</v>
      </c>
      <c r="F442" s="9">
        <v>210</v>
      </c>
      <c r="G442" s="10">
        <v>5</v>
      </c>
      <c r="H442" s="10">
        <v>1050</v>
      </c>
      <c r="I442" s="8" t="s">
        <v>1366</v>
      </c>
      <c r="J442" s="8" t="s">
        <v>1014</v>
      </c>
      <c r="K442" s="8" t="s">
        <v>1014</v>
      </c>
      <c r="L442" s="8" t="s">
        <v>1015</v>
      </c>
      <c r="M442" s="8" t="s">
        <v>1016</v>
      </c>
      <c r="N442" s="8" t="s">
        <v>495</v>
      </c>
      <c r="O442" s="8" t="s">
        <v>1242</v>
      </c>
      <c r="P442" s="8" t="s">
        <v>372</v>
      </c>
      <c r="Q442" s="11">
        <v>753.28</v>
      </c>
      <c r="R442" s="11">
        <v>790944</v>
      </c>
      <c r="S442" s="9">
        <v>34</v>
      </c>
      <c r="T442" s="8" t="s">
        <v>79</v>
      </c>
      <c r="U442" s="9">
        <v>210</v>
      </c>
      <c r="V442" s="8" t="s">
        <v>1333</v>
      </c>
      <c r="W442" s="8" t="s">
        <v>1334</v>
      </c>
    </row>
    <row r="443" spans="1:23" x14ac:dyDescent="0.3">
      <c r="A443" s="2" t="s">
        <v>585</v>
      </c>
      <c r="B443" s="3" t="s">
        <v>398</v>
      </c>
      <c r="C443" s="3" t="s">
        <v>1278</v>
      </c>
      <c r="D443" s="3" t="s">
        <v>1335</v>
      </c>
      <c r="E443" s="3">
        <v>15735</v>
      </c>
      <c r="F443" s="4">
        <v>200</v>
      </c>
      <c r="G443" s="5">
        <v>5</v>
      </c>
      <c r="H443" s="5">
        <v>1000</v>
      </c>
      <c r="I443" s="3" t="s">
        <v>1366</v>
      </c>
      <c r="J443" s="3" t="s">
        <v>1212</v>
      </c>
      <c r="K443" s="3" t="s">
        <v>1212</v>
      </c>
      <c r="L443" s="3" t="s">
        <v>1212</v>
      </c>
      <c r="M443" s="3" t="s">
        <v>1213</v>
      </c>
      <c r="N443" s="3" t="s">
        <v>495</v>
      </c>
      <c r="O443" s="3" t="s">
        <v>1242</v>
      </c>
      <c r="P443" s="3" t="s">
        <v>372</v>
      </c>
      <c r="Q443" s="6">
        <v>315</v>
      </c>
      <c r="R443" s="6">
        <v>315000</v>
      </c>
      <c r="S443" s="4">
        <v>34</v>
      </c>
      <c r="T443" s="3" t="s">
        <v>79</v>
      </c>
      <c r="U443" s="4">
        <v>200</v>
      </c>
      <c r="V443" s="3" t="s">
        <v>1336</v>
      </c>
      <c r="W443" s="3" t="s">
        <v>1337</v>
      </c>
    </row>
    <row r="444" spans="1:23" x14ac:dyDescent="0.3">
      <c r="A444" s="7" t="s">
        <v>585</v>
      </c>
      <c r="B444" s="8" t="s">
        <v>398</v>
      </c>
      <c r="C444" s="8" t="s">
        <v>1278</v>
      </c>
      <c r="D444" s="8" t="s">
        <v>1338</v>
      </c>
      <c r="E444" s="8">
        <v>15736</v>
      </c>
      <c r="F444" s="9">
        <v>200</v>
      </c>
      <c r="G444" s="10">
        <v>5</v>
      </c>
      <c r="H444" s="10">
        <v>1000</v>
      </c>
      <c r="I444" s="8" t="s">
        <v>1366</v>
      </c>
      <c r="J444" s="8" t="s">
        <v>1212</v>
      </c>
      <c r="K444" s="8" t="s">
        <v>1212</v>
      </c>
      <c r="L444" s="8" t="s">
        <v>1212</v>
      </c>
      <c r="M444" s="8" t="s">
        <v>1213</v>
      </c>
      <c r="N444" s="8" t="s">
        <v>495</v>
      </c>
      <c r="O444" s="8" t="s">
        <v>1242</v>
      </c>
      <c r="P444" s="8" t="s">
        <v>372</v>
      </c>
      <c r="Q444" s="11">
        <v>315</v>
      </c>
      <c r="R444" s="11">
        <v>315000</v>
      </c>
      <c r="S444" s="9">
        <v>34</v>
      </c>
      <c r="T444" s="8" t="s">
        <v>79</v>
      </c>
      <c r="U444" s="9">
        <v>200</v>
      </c>
      <c r="V444" s="8" t="s">
        <v>1339</v>
      </c>
      <c r="W444" s="8" t="s">
        <v>1340</v>
      </c>
    </row>
    <row r="445" spans="1:23" x14ac:dyDescent="0.3">
      <c r="A445" s="12"/>
      <c r="B445" s="13"/>
      <c r="C445" s="13"/>
      <c r="D445" s="13"/>
      <c r="E445" s="13"/>
      <c r="F445" s="14"/>
      <c r="G445" s="15"/>
      <c r="H445" s="15"/>
      <c r="I445" s="13"/>
      <c r="J445" s="13"/>
      <c r="K445" s="13"/>
      <c r="L445" s="13"/>
      <c r="M445" s="13"/>
      <c r="N445" s="13"/>
      <c r="O445" s="13"/>
      <c r="P445" s="13"/>
      <c r="Q445" s="16"/>
      <c r="R445" s="16"/>
      <c r="S445" s="14"/>
      <c r="T445" s="13"/>
      <c r="U445" s="14"/>
      <c r="V445" s="13"/>
      <c r="W445" s="13"/>
    </row>
    <row r="446" spans="1:23" x14ac:dyDescent="0.3">
      <c r="A446" s="12"/>
      <c r="B446" s="13"/>
      <c r="C446" s="13"/>
      <c r="D446" s="13"/>
      <c r="E446" s="13"/>
      <c r="F446" s="14"/>
      <c r="G446" s="15"/>
      <c r="H446" s="15"/>
      <c r="I446" s="13"/>
      <c r="J446" s="13"/>
      <c r="K446" s="13"/>
      <c r="L446" s="13"/>
      <c r="M446" s="13"/>
      <c r="N446" s="13"/>
      <c r="O446" s="13"/>
      <c r="P446" s="13"/>
      <c r="Q446" s="16"/>
      <c r="R446" s="16"/>
      <c r="S446" s="14"/>
      <c r="T446" s="13"/>
      <c r="U446" s="14"/>
      <c r="V446" s="13"/>
      <c r="W446" s="13"/>
    </row>
    <row r="447" spans="1:23" ht="15" thickBot="1" x14ac:dyDescent="0.35">
      <c r="A447" s="12"/>
      <c r="B447" s="13"/>
      <c r="C447" s="13"/>
      <c r="D447" s="13"/>
      <c r="E447" s="13"/>
      <c r="F447" s="14"/>
      <c r="G447" s="15"/>
      <c r="H447" s="15"/>
      <c r="I447" s="13"/>
      <c r="J447" s="13"/>
      <c r="K447" s="13"/>
      <c r="L447" s="13"/>
      <c r="M447" s="13"/>
      <c r="N447" s="13"/>
      <c r="O447" s="13"/>
      <c r="P447" s="13"/>
      <c r="Q447" s="16"/>
      <c r="R447" s="16"/>
      <c r="S447" s="14"/>
      <c r="T447" s="13"/>
      <c r="U447" s="14"/>
      <c r="V447" s="13"/>
      <c r="W447" s="13"/>
    </row>
    <row r="448" spans="1:23" ht="15" thickBot="1" x14ac:dyDescent="0.35">
      <c r="A448" s="17" t="s">
        <v>1341</v>
      </c>
      <c r="B448" s="18"/>
      <c r="C448" s="18"/>
      <c r="D448" s="18"/>
      <c r="E448" s="18"/>
      <c r="F448" s="19">
        <f>SUM(F2:F447)</f>
        <v>76719.5</v>
      </c>
      <c r="G448" s="18"/>
      <c r="H448" s="20">
        <f>SUM(H2:H447)</f>
        <v>629695.99600000016</v>
      </c>
      <c r="I448" s="18"/>
      <c r="J448" s="18"/>
      <c r="K448" s="18"/>
      <c r="L448" s="18"/>
      <c r="M448" s="18"/>
      <c r="N448" s="18"/>
      <c r="O448" s="18"/>
      <c r="P448" s="18"/>
      <c r="Q448" s="18"/>
      <c r="R448" s="21">
        <f>SUM(R2:R447)</f>
        <v>248916312.35599998</v>
      </c>
      <c r="S448" s="18"/>
      <c r="T448" s="18"/>
      <c r="U448" s="19">
        <f>SUM(U2:U447)</f>
        <v>76719.5</v>
      </c>
      <c r="V448" s="18"/>
      <c r="W448" s="18"/>
    </row>
    <row r="450" spans="1:17" x14ac:dyDescent="0.3">
      <c r="A450" s="22"/>
    </row>
    <row r="451" spans="1:17" x14ac:dyDescent="0.3">
      <c r="A451" s="23"/>
    </row>
    <row r="452" spans="1:17" x14ac:dyDescent="0.3">
      <c r="A452" s="24"/>
      <c r="Q452">
        <f ca="1">Q452</f>
        <v>0</v>
      </c>
    </row>
  </sheetData>
  <autoFilter ref="A1:W448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Cold Stocks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loharshubham31@gmail.com</cp:lastModifiedBy>
  <cp:revision>0</cp:revision>
  <dcterms:created xsi:type="dcterms:W3CDTF">2026-05-25T07:45:46Z</dcterms:created>
  <dcterms:modified xsi:type="dcterms:W3CDTF">2026-05-25T13:28:31Z</dcterms:modified>
  <dc:language>en-US</dc:language>
</cp:coreProperties>
</file>